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ws/src/GuitarTap/"/>
    </mc:Choice>
  </mc:AlternateContent>
  <xr:revisionPtr revIDLastSave="0" documentId="13_ncr:1_{FF1B7EEE-79AF-A44D-8409-860EB9189235}" xr6:coauthVersionLast="47" xr6:coauthVersionMax="47" xr10:uidLastSave="{00000000-0000-0000-0000-000000000000}"/>
  <bookViews>
    <workbookView xWindow="0" yWindow="660" windowWidth="30240" windowHeight="16640" tabRatio="768" activeTab="6" xr2:uid="{00000000-000D-0000-FFFF-FFFF00000000}"/>
  </bookViews>
  <sheets>
    <sheet name="Monopole Mobility" sheetId="10" r:id="rId1"/>
    <sheet name="Bridge Rotation" sheetId="4" r:id="rId2"/>
    <sheet name="Youngs Mod Brace Tap" sheetId="1" r:id="rId3"/>
    <sheet name="Youngs Mod Plates Deflect" sheetId="2" r:id="rId4"/>
    <sheet name="Youngs Mod Dynamic Method" sheetId="6" r:id="rId5"/>
    <sheet name="Top Thickness Static" sheetId="15" r:id="rId6"/>
    <sheet name="Top Thickness Dynamic" sheetId="14" r:id="rId7"/>
    <sheet name="Log Dec" sheetId="7" r:id="rId8"/>
    <sheet name="Helmholtz" sheetId="8" r:id="rId9"/>
    <sheet name="Helmholtz Cht" sheetId="9" r:id="rId10"/>
    <sheet name="Flexural Rigidity" sheetId="16" r:id="rId11"/>
  </sheets>
  <definedNames>
    <definedName name="a">'Youngs Mod Dynamic Method'!#REF!</definedName>
    <definedName name="b">'Youngs Mod Dynamic Method'!#REF!</definedName>
    <definedName name="Coef_1" localSheetId="6">'Top Thickness Dynamic'!$I$19</definedName>
    <definedName name="Coef_1" localSheetId="5">'Top Thickness Static'!$I$19</definedName>
    <definedName name="Coef_2" localSheetId="6">'Top Thickness Dynamic'!$J$19</definedName>
    <definedName name="Coef_2" localSheetId="5">'Top Thickness Static'!$J$19</definedName>
    <definedName name="Coef_3" localSheetId="6">'Top Thickness Dynamic'!$K$19</definedName>
    <definedName name="Coef_3" localSheetId="5">'Top Thickness Static'!$K$19</definedName>
    <definedName name="Coef_4" localSheetId="6">'Top Thickness Dynamic'!$L$19</definedName>
    <definedName name="Coef_4" localSheetId="5">'Top Thickness Static'!$L$19</definedName>
    <definedName name="dd_items" localSheetId="6">Vib_Stiff2[PanelType]</definedName>
    <definedName name="dd_items" localSheetId="5">Vib_Stiff24[PanelType]</definedName>
    <definedName name="Density">'Youngs Mod Dynamic Method'!$C$18</definedName>
    <definedName name="Ecross">'Youngs Mod Dynamic Method'!$E$18</definedName>
    <definedName name="Elong">'Youngs Mod Dynamic Method'!$D$18</definedName>
    <definedName name="Gab">'Youngs Mod Dynamic Method'!$F$18</definedName>
    <definedName name="Length">'Youngs Mod Dynamic Method'!$G$14</definedName>
    <definedName name="Mass">'Youngs Mod Dynamic Method'!$F$14</definedName>
    <definedName name="sigma21">'Youngs Mod Dynamic Method'!$G$23</definedName>
    <definedName name="t">'Youngs Mod Dynamic Method'!$I$14</definedName>
    <definedName name="Vcl">'Youngs Mod Dynamic Method'!$F$36</definedName>
    <definedName name="VlcVcl" localSheetId="6">'Top Thickness Dynamic'!$G$19</definedName>
    <definedName name="VlcVcl" localSheetId="5">'Top Thickness Static'!$G$19</definedName>
    <definedName name="VlcxVcl">'Youngs Mod Dynamic Method'!$G$36</definedName>
    <definedName name="Width">'Youngs Mod Dynamic Method'!$H$14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14" l="1"/>
  <c r="S60" i="14" s="1"/>
  <c r="N60" i="14"/>
  <c r="L60" i="14"/>
  <c r="K60" i="14"/>
  <c r="G57" i="14"/>
  <c r="G60" i="14"/>
  <c r="L43" i="1"/>
  <c r="J43" i="1"/>
  <c r="L42" i="1"/>
  <c r="L41" i="1"/>
  <c r="J42" i="1"/>
  <c r="Q13" i="1"/>
  <c r="Q12" i="1"/>
  <c r="Q11" i="1"/>
  <c r="J41" i="1"/>
  <c r="U32" i="15"/>
  <c r="Q32" i="15"/>
  <c r="P32" i="15"/>
  <c r="G32" i="15"/>
  <c r="U28" i="15"/>
  <c r="Q28" i="15"/>
  <c r="P28" i="15"/>
  <c r="G28" i="15"/>
  <c r="U27" i="15"/>
  <c r="Q27" i="15"/>
  <c r="P27" i="15"/>
  <c r="G27" i="15"/>
  <c r="K33" i="2"/>
  <c r="D33" i="2"/>
  <c r="G39" i="16"/>
  <c r="F38" i="16"/>
  <c r="D39" i="16"/>
  <c r="D29" i="16"/>
  <c r="D38" i="16"/>
  <c r="G38" i="16"/>
  <c r="H38" i="16"/>
  <c r="I39" i="16"/>
  <c r="J39" i="16"/>
  <c r="F39" i="16"/>
  <c r="I38" i="16"/>
  <c r="J38" i="16"/>
  <c r="I37" i="16"/>
  <c r="J37" i="16"/>
  <c r="I36" i="16"/>
  <c r="J36" i="16"/>
  <c r="I35" i="16"/>
  <c r="J35" i="16"/>
  <c r="I34" i="16"/>
  <c r="J34" i="16"/>
  <c r="I33" i="16"/>
  <c r="J33" i="16"/>
  <c r="I13" i="8"/>
  <c r="H20" i="10"/>
  <c r="J20" i="10"/>
  <c r="H19" i="10"/>
  <c r="J19" i="10"/>
  <c r="L19" i="10"/>
  <c r="G26" i="15"/>
  <c r="U26" i="15"/>
  <c r="Q26" i="15"/>
  <c r="P26" i="15"/>
  <c r="Q25" i="15"/>
  <c r="P25" i="15"/>
  <c r="U25" i="15"/>
  <c r="G25" i="15"/>
  <c r="S29" i="15"/>
  <c r="L19" i="15"/>
  <c r="K19" i="15"/>
  <c r="J19" i="15"/>
  <c r="F17" i="15"/>
  <c r="E17" i="15"/>
  <c r="G16" i="15"/>
  <c r="G15" i="15"/>
  <c r="G11" i="15"/>
  <c r="G10" i="15"/>
  <c r="G9" i="15"/>
  <c r="G8" i="15"/>
  <c r="G7" i="15"/>
  <c r="J19" i="14"/>
  <c r="P57" i="14"/>
  <c r="N57" i="14"/>
  <c r="P56" i="14"/>
  <c r="G56" i="14"/>
  <c r="P55" i="14"/>
  <c r="G55" i="14"/>
  <c r="P54" i="14"/>
  <c r="G54" i="14"/>
  <c r="N54" i="14"/>
  <c r="P53" i="14"/>
  <c r="G53" i="14"/>
  <c r="N53" i="14"/>
  <c r="P52" i="14"/>
  <c r="G52" i="14"/>
  <c r="P51" i="14"/>
  <c r="G51" i="14"/>
  <c r="N51" i="14"/>
  <c r="P50" i="14"/>
  <c r="G50" i="14"/>
  <c r="P47" i="14"/>
  <c r="G47" i="14"/>
  <c r="P46" i="14"/>
  <c r="G46" i="14"/>
  <c r="P45" i="14"/>
  <c r="G45" i="14"/>
  <c r="P44" i="14"/>
  <c r="G44" i="14"/>
  <c r="N44" i="14"/>
  <c r="P43" i="14"/>
  <c r="G43" i="14"/>
  <c r="N43" i="14"/>
  <c r="P42" i="14"/>
  <c r="G42" i="14"/>
  <c r="P41" i="14"/>
  <c r="G41" i="14"/>
  <c r="N41" i="14"/>
  <c r="P40" i="14"/>
  <c r="G40" i="14"/>
  <c r="N40" i="14"/>
  <c r="P37" i="14"/>
  <c r="G37" i="14"/>
  <c r="N37" i="14"/>
  <c r="P36" i="14"/>
  <c r="G36" i="14"/>
  <c r="P34" i="14"/>
  <c r="G34" i="14"/>
  <c r="N34" i="14"/>
  <c r="P33" i="14"/>
  <c r="G33" i="14"/>
  <c r="N33" i="14"/>
  <c r="P32" i="14"/>
  <c r="G32" i="14"/>
  <c r="N32" i="14"/>
  <c r="P31" i="14"/>
  <c r="G31" i="14"/>
  <c r="N31" i="14"/>
  <c r="P30" i="14"/>
  <c r="G30" i="14"/>
  <c r="P29" i="14"/>
  <c r="G29" i="14"/>
  <c r="P28" i="14"/>
  <c r="N28" i="14"/>
  <c r="G28" i="14"/>
  <c r="P27" i="14"/>
  <c r="G27" i="14"/>
  <c r="N27" i="14"/>
  <c r="P26" i="14"/>
  <c r="G26" i="14"/>
  <c r="P25" i="14"/>
  <c r="G25" i="14"/>
  <c r="N25" i="14"/>
  <c r="L19" i="14"/>
  <c r="K19" i="14"/>
  <c r="I19" i="14"/>
  <c r="F17" i="14"/>
  <c r="E17" i="14"/>
  <c r="G16" i="14"/>
  <c r="G15" i="14"/>
  <c r="G11" i="14"/>
  <c r="G10" i="14"/>
  <c r="G9" i="14"/>
  <c r="G8" i="14"/>
  <c r="G7" i="14"/>
  <c r="X28" i="15"/>
  <c r="R28" i="15"/>
  <c r="R32" i="15"/>
  <c r="Y32" i="15"/>
  <c r="X32" i="15"/>
  <c r="Y28" i="15"/>
  <c r="R27" i="15"/>
  <c r="Y27" i="15"/>
  <c r="X27" i="15"/>
  <c r="D37" i="16"/>
  <c r="D36" i="16"/>
  <c r="D35" i="16"/>
  <c r="D33" i="16"/>
  <c r="D34" i="16"/>
  <c r="K39" i="16"/>
  <c r="H39" i="16"/>
  <c r="K38" i="16"/>
  <c r="Y26" i="15"/>
  <c r="L20" i="10"/>
  <c r="M20" i="10"/>
  <c r="M19" i="10"/>
  <c r="X26" i="15"/>
  <c r="R26" i="15"/>
  <c r="G29" i="15"/>
  <c r="Q29" i="15"/>
  <c r="G17" i="15"/>
  <c r="X25" i="15"/>
  <c r="L44" i="14"/>
  <c r="G38" i="14"/>
  <c r="L55" i="14"/>
  <c r="K34" i="14"/>
  <c r="K51" i="14"/>
  <c r="L30" i="14"/>
  <c r="L45" i="14"/>
  <c r="K36" i="14"/>
  <c r="K52" i="14"/>
  <c r="M52" i="14"/>
  <c r="L31" i="14"/>
  <c r="L46" i="14"/>
  <c r="K44" i="14"/>
  <c r="M44" i="14"/>
  <c r="K30" i="14"/>
  <c r="K37" i="14"/>
  <c r="K53" i="14"/>
  <c r="L32" i="14"/>
  <c r="L47" i="14"/>
  <c r="K29" i="14"/>
  <c r="L26" i="14"/>
  <c r="K25" i="14"/>
  <c r="M25" i="14"/>
  <c r="K40" i="14"/>
  <c r="T40" i="14"/>
  <c r="K54" i="14"/>
  <c r="L33" i="14"/>
  <c r="L50" i="14"/>
  <c r="L41" i="14"/>
  <c r="K26" i="14"/>
  <c r="K41" i="14"/>
  <c r="M41" i="14"/>
  <c r="K55" i="14"/>
  <c r="L34" i="14"/>
  <c r="L51" i="14"/>
  <c r="L25" i="14"/>
  <c r="K45" i="14"/>
  <c r="K27" i="14"/>
  <c r="K42" i="14"/>
  <c r="K56" i="14"/>
  <c r="M56" i="14"/>
  <c r="L36" i="14"/>
  <c r="L52" i="14"/>
  <c r="K28" i="14"/>
  <c r="K43" i="14"/>
  <c r="K57" i="14"/>
  <c r="M57" i="14"/>
  <c r="L37" i="14"/>
  <c r="M37" i="14"/>
  <c r="L53" i="14"/>
  <c r="L54" i="14"/>
  <c r="K46" i="14"/>
  <c r="M46" i="14"/>
  <c r="L42" i="14"/>
  <c r="K32" i="14"/>
  <c r="K47" i="14"/>
  <c r="L28" i="14"/>
  <c r="L43" i="14"/>
  <c r="L57" i="14"/>
  <c r="L40" i="14"/>
  <c r="K31" i="14"/>
  <c r="L27" i="14"/>
  <c r="L56" i="14"/>
  <c r="K33" i="14"/>
  <c r="K50" i="14"/>
  <c r="L29" i="14"/>
  <c r="S52" i="14"/>
  <c r="S27" i="14"/>
  <c r="S31" i="14"/>
  <c r="S25" i="14"/>
  <c r="S26" i="14"/>
  <c r="N30" i="14"/>
  <c r="N55" i="14"/>
  <c r="T55" i="14"/>
  <c r="G35" i="14"/>
  <c r="N46" i="14"/>
  <c r="S30" i="14"/>
  <c r="N52" i="14"/>
  <c r="N47" i="14"/>
  <c r="S40" i="14"/>
  <c r="S36" i="14"/>
  <c r="G17" i="14"/>
  <c r="S32" i="14"/>
  <c r="S42" i="14"/>
  <c r="N29" i="14"/>
  <c r="N45" i="14"/>
  <c r="S46" i="14"/>
  <c r="N50" i="14"/>
  <c r="S51" i="14"/>
  <c r="N56" i="14"/>
  <c r="S57" i="14"/>
  <c r="S45" i="14"/>
  <c r="G48" i="14"/>
  <c r="S50" i="14"/>
  <c r="S56" i="14"/>
  <c r="S29" i="14"/>
  <c r="S28" i="14"/>
  <c r="S34" i="14"/>
  <c r="S44" i="14"/>
  <c r="S55" i="14"/>
  <c r="G58" i="14"/>
  <c r="N26" i="14"/>
  <c r="S33" i="14"/>
  <c r="N42" i="14"/>
  <c r="S43" i="14"/>
  <c r="N36" i="14"/>
  <c r="N38" i="14"/>
  <c r="S37" i="14"/>
  <c r="S54" i="14"/>
  <c r="S53" i="14"/>
  <c r="S41" i="14"/>
  <c r="S47" i="14"/>
  <c r="Z28" i="15"/>
  <c r="AB28" i="15"/>
  <c r="Z32" i="15"/>
  <c r="AB32" i="15"/>
  <c r="Z27" i="15"/>
  <c r="AB27" i="15"/>
  <c r="Z26" i="15"/>
  <c r="AB26" i="15"/>
  <c r="F34" i="16"/>
  <c r="K34" i="16"/>
  <c r="G34" i="16"/>
  <c r="H34" i="16"/>
  <c r="F33" i="16"/>
  <c r="K33" i="16"/>
  <c r="G33" i="16"/>
  <c r="H33" i="16"/>
  <c r="F35" i="16"/>
  <c r="G35" i="16"/>
  <c r="H35" i="16"/>
  <c r="F36" i="16"/>
  <c r="K36" i="16"/>
  <c r="G36" i="16"/>
  <c r="H36" i="16"/>
  <c r="F37" i="16"/>
  <c r="K37" i="16"/>
  <c r="G37" i="16"/>
  <c r="H37" i="16"/>
  <c r="K35" i="16"/>
  <c r="P29" i="15"/>
  <c r="T46" i="14"/>
  <c r="M40" i="14"/>
  <c r="M34" i="14"/>
  <c r="M51" i="14"/>
  <c r="M31" i="14"/>
  <c r="M28" i="14"/>
  <c r="T52" i="14"/>
  <c r="U52" i="14"/>
  <c r="W52" i="14"/>
  <c r="M30" i="14"/>
  <c r="T54" i="14"/>
  <c r="T25" i="14"/>
  <c r="U25" i="14"/>
  <c r="W25" i="14"/>
  <c r="M45" i="14"/>
  <c r="Y25" i="15"/>
  <c r="Z25" i="15"/>
  <c r="R25" i="15"/>
  <c r="L38" i="14"/>
  <c r="M50" i="14"/>
  <c r="T44" i="14"/>
  <c r="T28" i="14"/>
  <c r="M53" i="14"/>
  <c r="T34" i="14"/>
  <c r="L48" i="14"/>
  <c r="T41" i="14"/>
  <c r="U41" i="14"/>
  <c r="W41" i="14"/>
  <c r="T57" i="14"/>
  <c r="K58" i="14"/>
  <c r="T37" i="14"/>
  <c r="U37" i="14"/>
  <c r="W37" i="14"/>
  <c r="T51" i="14"/>
  <c r="U51" i="14"/>
  <c r="W51" i="14"/>
  <c r="T31" i="14"/>
  <c r="U31" i="14"/>
  <c r="W31" i="14"/>
  <c r="T56" i="14"/>
  <c r="U28" i="14"/>
  <c r="W28" i="14"/>
  <c r="T50" i="14"/>
  <c r="U50" i="14"/>
  <c r="M55" i="14"/>
  <c r="T45" i="14"/>
  <c r="U45" i="14"/>
  <c r="W45" i="14"/>
  <c r="N35" i="14"/>
  <c r="U40" i="14"/>
  <c r="W40" i="14"/>
  <c r="U55" i="14"/>
  <c r="W55" i="14"/>
  <c r="T30" i="14"/>
  <c r="U30" i="14"/>
  <c r="W30" i="14"/>
  <c r="U44" i="14"/>
  <c r="W44" i="14"/>
  <c r="K48" i="14"/>
  <c r="L35" i="14"/>
  <c r="U57" i="14"/>
  <c r="W57" i="14"/>
  <c r="N48" i="14"/>
  <c r="U54" i="14"/>
  <c r="W54" i="14"/>
  <c r="M54" i="14"/>
  <c r="U56" i="14"/>
  <c r="W56" i="14"/>
  <c r="T53" i="14"/>
  <c r="U53" i="14"/>
  <c r="W53" i="14"/>
  <c r="T47" i="14"/>
  <c r="U47" i="14"/>
  <c r="W47" i="14"/>
  <c r="M47" i="14"/>
  <c r="N58" i="14"/>
  <c r="L58" i="14"/>
  <c r="T42" i="14"/>
  <c r="U42" i="14"/>
  <c r="W42" i="14"/>
  <c r="M42" i="14"/>
  <c r="T43" i="14"/>
  <c r="U43" i="14"/>
  <c r="W43" i="14"/>
  <c r="M43" i="14"/>
  <c r="T36" i="14"/>
  <c r="U36" i="14"/>
  <c r="M36" i="14"/>
  <c r="M38" i="14"/>
  <c r="K38" i="14"/>
  <c r="M32" i="14"/>
  <c r="T32" i="14"/>
  <c r="U32" i="14"/>
  <c r="W32" i="14"/>
  <c r="T33" i="14"/>
  <c r="U33" i="14"/>
  <c r="W33" i="14"/>
  <c r="M33" i="14"/>
  <c r="K35" i="14"/>
  <c r="M26" i="14"/>
  <c r="T26" i="14"/>
  <c r="U26" i="14"/>
  <c r="W26" i="14"/>
  <c r="U34" i="14"/>
  <c r="W34" i="14"/>
  <c r="T27" i="14"/>
  <c r="U27" i="14"/>
  <c r="W27" i="14"/>
  <c r="M27" i="14"/>
  <c r="M29" i="14"/>
  <c r="T29" i="14"/>
  <c r="U29" i="14"/>
  <c r="W29" i="14"/>
  <c r="U46" i="14"/>
  <c r="W46" i="14"/>
  <c r="H36" i="6"/>
  <c r="K40" i="16"/>
  <c r="F40" i="16"/>
  <c r="R29" i="15"/>
  <c r="Z29" i="15"/>
  <c r="AB25" i="15"/>
  <c r="AB29" i="15"/>
  <c r="M58" i="14"/>
  <c r="M35" i="14"/>
  <c r="M48" i="14"/>
  <c r="W48" i="14"/>
  <c r="W35" i="14"/>
  <c r="U48" i="14"/>
  <c r="U35" i="14"/>
  <c r="U58" i="14"/>
  <c r="W50" i="14"/>
  <c r="W58" i="14"/>
  <c r="U38" i="14"/>
  <c r="W36" i="14"/>
  <c r="W38" i="14"/>
  <c r="F34" i="6"/>
  <c r="E34" i="6"/>
  <c r="G33" i="6"/>
  <c r="G32" i="6"/>
  <c r="G28" i="6"/>
  <c r="G34" i="6"/>
  <c r="G27" i="6"/>
  <c r="G26" i="6"/>
  <c r="G25" i="6"/>
  <c r="G24" i="6"/>
  <c r="J12" i="1"/>
  <c r="J17" i="10"/>
  <c r="H16" i="10"/>
  <c r="J16" i="10"/>
  <c r="H3" i="10"/>
  <c r="J15" i="10"/>
  <c r="L15" i="10"/>
  <c r="M15" i="10"/>
  <c r="J13" i="10"/>
  <c r="L13" i="10"/>
  <c r="J11" i="10"/>
  <c r="L11" i="10"/>
  <c r="M11" i="10"/>
  <c r="J9" i="10"/>
  <c r="M9" i="10"/>
  <c r="L9" i="10"/>
  <c r="H4" i="10"/>
  <c r="H12" i="10"/>
  <c r="J12" i="10"/>
  <c r="H14" i="10"/>
  <c r="J14" i="10"/>
  <c r="I12" i="8"/>
  <c r="G19" i="8"/>
  <c r="F30" i="8"/>
  <c r="I11" i="8"/>
  <c r="J10" i="7"/>
  <c r="K10" i="7"/>
  <c r="G10" i="7"/>
  <c r="G9" i="7"/>
  <c r="J9" i="7"/>
  <c r="K9" i="7"/>
  <c r="F14" i="6"/>
  <c r="G14" i="6"/>
  <c r="H14" i="6"/>
  <c r="I14" i="6"/>
  <c r="C14" i="6"/>
  <c r="D14" i="6"/>
  <c r="E14" i="6"/>
  <c r="E17" i="4"/>
  <c r="E12" i="4"/>
  <c r="K24" i="2"/>
  <c r="K14" i="2"/>
  <c r="D24" i="2"/>
  <c r="D14" i="2"/>
  <c r="L14" i="10"/>
  <c r="M14" i="10"/>
  <c r="H10" i="10"/>
  <c r="J10" i="10"/>
  <c r="H8" i="10"/>
  <c r="J8" i="10"/>
  <c r="F29" i="8"/>
  <c r="F23" i="8"/>
  <c r="M40" i="16"/>
  <c r="L39" i="16"/>
  <c r="L37" i="16"/>
  <c r="L36" i="16"/>
  <c r="C18" i="6"/>
  <c r="I36" i="6"/>
  <c r="L8" i="10"/>
  <c r="M8" i="10"/>
  <c r="L10" i="10"/>
  <c r="M10" i="10"/>
  <c r="L12" i="10"/>
  <c r="M12" i="10"/>
  <c r="M13" i="10"/>
  <c r="L16" i="10"/>
  <c r="M16" i="10"/>
  <c r="F26" i="8"/>
  <c r="F22" i="8"/>
  <c r="F24" i="8"/>
  <c r="F25" i="8"/>
  <c r="L17" i="10"/>
  <c r="M17" i="10"/>
  <c r="F28" i="8"/>
  <c r="F27" i="8"/>
  <c r="L34" i="16"/>
  <c r="L38" i="16"/>
  <c r="L35" i="16"/>
  <c r="L33" i="16"/>
  <c r="J36" i="6"/>
  <c r="C19" i="6"/>
  <c r="D18" i="6"/>
  <c r="E18" i="6"/>
  <c r="F18" i="6"/>
  <c r="L40" i="16"/>
  <c r="N40" i="16"/>
  <c r="O40" i="16"/>
  <c r="E19" i="6"/>
  <c r="F19" i="6"/>
  <c r="D19" i="6"/>
  <c r="H18" i="6"/>
  <c r="H19" i="6"/>
  <c r="T60" i="14" l="1"/>
  <c r="U60" i="14" s="1"/>
  <c r="M60" i="14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trevor_a_gore</author>
  </authors>
  <commentList>
    <comment ref="D3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trevor_a_gore:</t>
        </r>
        <r>
          <rPr>
            <sz val="8"/>
            <color indexed="81"/>
            <rFont val="Tahoma"/>
            <family val="2"/>
          </rPr>
          <t xml:space="preserve">
Same as Brazillian/Honduran</t>
        </r>
      </text>
    </comment>
  </commentList>
</comments>
</file>

<file path=xl/sharedStrings.xml><?xml version="1.0" encoding="utf-8"?>
<sst xmlns="http://schemas.openxmlformats.org/spreadsheetml/2006/main" count="582" uniqueCount="266">
  <si>
    <t>E</t>
  </si>
  <si>
    <t>GPa</t>
  </si>
  <si>
    <t>Data Entry</t>
  </si>
  <si>
    <t>Width</t>
  </si>
  <si>
    <t>Young's Modulus - Beam tapping method</t>
  </si>
  <si>
    <t>Sample 1</t>
  </si>
  <si>
    <t>Sample 2</t>
  </si>
  <si>
    <t>Load</t>
  </si>
  <si>
    <t>Length</t>
  </si>
  <si>
    <t>Thickness</t>
  </si>
  <si>
    <t>Deflection</t>
  </si>
  <si>
    <t>Kg</t>
  </si>
  <si>
    <t>metres</t>
  </si>
  <si>
    <t>Frequency (Hz)</t>
  </si>
  <si>
    <t>Hz</t>
  </si>
  <si>
    <r>
      <t>Kg/m</t>
    </r>
    <r>
      <rPr>
        <vertAlign val="superscript"/>
        <sz val="10"/>
        <rFont val="Arial"/>
        <family val="2"/>
      </rPr>
      <t>3</t>
    </r>
  </si>
  <si>
    <t>Mass</t>
  </si>
  <si>
    <t>Density</t>
  </si>
  <si>
    <t>Bridge Rotation</t>
  </si>
  <si>
    <t>x</t>
  </si>
  <si>
    <t>y</t>
  </si>
  <si>
    <t>z</t>
  </si>
  <si>
    <r>
      <t>x</t>
    </r>
    <r>
      <rPr>
        <vertAlign val="subscript"/>
        <sz val="10"/>
        <rFont val="Arial"/>
        <family val="2"/>
      </rPr>
      <t>1</t>
    </r>
  </si>
  <si>
    <r>
      <t>y</t>
    </r>
    <r>
      <rPr>
        <vertAlign val="subscript"/>
        <sz val="10"/>
        <rFont val="Arial"/>
        <family val="2"/>
      </rPr>
      <t>1</t>
    </r>
  </si>
  <si>
    <t>Angle of rotation</t>
  </si>
  <si>
    <t>degrees</t>
  </si>
  <si>
    <t>Younds Modulus - Plate Deflection Method</t>
  </si>
  <si>
    <r>
      <t>E</t>
    </r>
    <r>
      <rPr>
        <b/>
        <vertAlign val="subscript"/>
        <sz val="10"/>
        <rFont val="Arial"/>
        <family val="2"/>
      </rPr>
      <t>L</t>
    </r>
  </si>
  <si>
    <r>
      <t>E</t>
    </r>
    <r>
      <rPr>
        <b/>
        <vertAlign val="subscript"/>
        <sz val="10"/>
        <rFont val="Arial"/>
        <family val="2"/>
      </rPr>
      <t>C</t>
    </r>
  </si>
  <si>
    <t>F long (Hz)</t>
  </si>
  <si>
    <t>F cross (Hz)</t>
  </si>
  <si>
    <t>F diag (Hz)</t>
  </si>
  <si>
    <t>Mass, gms</t>
  </si>
  <si>
    <t>Length mm</t>
  </si>
  <si>
    <t>Width mm</t>
  </si>
  <si>
    <t>Thickness mm</t>
  </si>
  <si>
    <t>mass, Kg</t>
  </si>
  <si>
    <t>Length (m)</t>
  </si>
  <si>
    <t>Width (m)</t>
  </si>
  <si>
    <t>Thickness (m)</t>
  </si>
  <si>
    <t>Elong</t>
  </si>
  <si>
    <t>Ecross</t>
  </si>
  <si>
    <t>G</t>
  </si>
  <si>
    <t xml:space="preserve"> kg/m^3</t>
  </si>
  <si>
    <t>Elong/Ecross</t>
  </si>
  <si>
    <t>Youngs Modulus - Dynamic Method</t>
  </si>
  <si>
    <t>Timber</t>
  </si>
  <si>
    <t>Sample</t>
  </si>
  <si>
    <t>Period</t>
  </si>
  <si>
    <t>Cycles</t>
  </si>
  <si>
    <r>
      <t>a</t>
    </r>
    <r>
      <rPr>
        <vertAlign val="subscript"/>
        <sz val="10"/>
        <rFont val="Arial"/>
        <family val="2"/>
      </rPr>
      <t>1</t>
    </r>
  </si>
  <si>
    <r>
      <t>a</t>
    </r>
    <r>
      <rPr>
        <vertAlign val="subscript"/>
        <sz val="10"/>
        <rFont val="Arial"/>
        <family val="2"/>
      </rPr>
      <t>n</t>
    </r>
  </si>
  <si>
    <t>δ</t>
  </si>
  <si>
    <t>Q</t>
  </si>
  <si>
    <t>Sitka</t>
  </si>
  <si>
    <t>Logarithmic Decrement - Dynamic Method</t>
  </si>
  <si>
    <t>Engelmann</t>
  </si>
  <si>
    <t>Mode Frequency (Hz)</t>
  </si>
  <si>
    <r>
      <t>Read f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and f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from the tap response</t>
    </r>
  </si>
  <si>
    <r>
      <t>Plug the sound hole and read f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 xml:space="preserve"> from a second tap response</t>
    </r>
  </si>
  <si>
    <t>Example</t>
  </si>
  <si>
    <t>Speed of sound</t>
  </si>
  <si>
    <t>Sound hole radius</t>
  </si>
  <si>
    <t>m/s</t>
  </si>
  <si>
    <t>m</t>
  </si>
  <si>
    <t>Body volume</t>
  </si>
  <si>
    <r>
      <t>m</t>
    </r>
    <r>
      <rPr>
        <vertAlign val="superscript"/>
        <sz val="10"/>
        <rFont val="Arial"/>
        <family val="2"/>
      </rPr>
      <t>3</t>
    </r>
  </si>
  <si>
    <t>For TAG prototype neo-classcial</t>
  </si>
  <si>
    <r>
      <t>α</t>
    </r>
    <r>
      <rPr>
        <sz val="10"/>
        <rFont val="Arial"/>
        <family val="2"/>
      </rPr>
      <t>=</t>
    </r>
  </si>
  <si>
    <t>Dummy Data</t>
  </si>
  <si>
    <t>Sound Hole Diameter (mm)</t>
  </si>
  <si>
    <r>
      <t>f</t>
    </r>
    <r>
      <rPr>
        <i/>
        <vertAlign val="subscript"/>
        <sz val="10"/>
        <rFont val="Times New Roman"/>
        <family val="1"/>
      </rPr>
      <t>1</t>
    </r>
  </si>
  <si>
    <r>
      <t>f</t>
    </r>
    <r>
      <rPr>
        <i/>
        <vertAlign val="subscript"/>
        <sz val="10"/>
        <rFont val="Times New Roman"/>
        <family val="1"/>
      </rPr>
      <t>2</t>
    </r>
  </si>
  <si>
    <r>
      <t>f</t>
    </r>
    <r>
      <rPr>
        <i/>
        <vertAlign val="subscript"/>
        <sz val="10"/>
        <rFont val="Times New Roman"/>
        <family val="1"/>
      </rPr>
      <t>T</t>
    </r>
  </si>
  <si>
    <r>
      <t>f</t>
    </r>
    <r>
      <rPr>
        <i/>
        <vertAlign val="subscript"/>
        <sz val="10"/>
        <rFont val="Times New Roman"/>
        <family val="1"/>
      </rPr>
      <t>H</t>
    </r>
  </si>
  <si>
    <t>Helmholtz adjustment (2-DOF model i.e. for stiff back guitars only)</t>
  </si>
  <si>
    <t>Span</t>
  </si>
  <si>
    <t>Average Admittance</t>
  </si>
  <si>
    <t>*.01mm</t>
  </si>
  <si>
    <t>K</t>
  </si>
  <si>
    <t>Guitar</t>
  </si>
  <si>
    <t>ID</t>
  </si>
  <si>
    <t>Style</t>
  </si>
  <si>
    <t>Load (N)</t>
  </si>
  <si>
    <t>Stiffness</t>
  </si>
  <si>
    <t>f (Hz)</t>
  </si>
  <si>
    <t>m (Kg)</t>
  </si>
  <si>
    <t>Avg. Admittance milli(s/Kg)</t>
  </si>
  <si>
    <t>Gore Falcate Steel String</t>
  </si>
  <si>
    <t>S</t>
  </si>
  <si>
    <r>
      <t>T(1,1)</t>
    </r>
    <r>
      <rPr>
        <vertAlign val="subscript"/>
        <sz val="10"/>
        <rFont val="Arial"/>
        <family val="2"/>
      </rPr>
      <t>1</t>
    </r>
  </si>
  <si>
    <r>
      <t>T(1,1)</t>
    </r>
    <r>
      <rPr>
        <vertAlign val="subscript"/>
        <sz val="10"/>
        <rFont val="Arial"/>
        <family val="2"/>
      </rPr>
      <t>2</t>
    </r>
  </si>
  <si>
    <t>plugged S/H</t>
  </si>
  <si>
    <t>Top with</t>
  </si>
  <si>
    <t>From Session 3, Slide 11:-</t>
  </si>
  <si>
    <t>From Session 2 slide 34</t>
  </si>
  <si>
    <t>Macassar Ebony</t>
  </si>
  <si>
    <t>Oregon Pine</t>
  </si>
  <si>
    <t>Brush Box (Turpentine?)</t>
  </si>
  <si>
    <t>Silver Ash</t>
  </si>
  <si>
    <t>Sitka spruce</t>
  </si>
  <si>
    <t>From Session 3, Slide 23:-</t>
  </si>
  <si>
    <t>From Session 4 Slide 10</t>
  </si>
  <si>
    <t>From Session 4 Slide 14</t>
  </si>
  <si>
    <t>From Session 5 Slide 35</t>
  </si>
  <si>
    <t>From Session 4 Slide 17</t>
  </si>
  <si>
    <t>For slide 32</t>
  </si>
  <si>
    <t>Buckham Journeyman 1</t>
  </si>
  <si>
    <t>Buckham Journeyman 2</t>
  </si>
  <si>
    <t>Warren</t>
  </si>
  <si>
    <t>Frank</t>
  </si>
  <si>
    <t>Macassar Ebony 2</t>
  </si>
  <si>
    <t>New Guinea rosewood</t>
  </si>
  <si>
    <t>Fiji mahogany( Swietenia Macrophylla)</t>
  </si>
  <si>
    <t>Queensland Maple</t>
  </si>
  <si>
    <t>BRW</t>
  </si>
  <si>
    <t>Amazon Rosewood</t>
  </si>
  <si>
    <t>Stewmac CF</t>
  </si>
  <si>
    <t>Saved records</t>
  </si>
  <si>
    <t>Poison's Ratio v</t>
  </si>
  <si>
    <t>Mahogany,</t>
  </si>
  <si>
    <t>African</t>
  </si>
  <si>
    <t>Honduras</t>
  </si>
  <si>
    <t>Sugar</t>
  </si>
  <si>
    <t>Red</t>
  </si>
  <si>
    <t>Walnut,</t>
  </si>
  <si>
    <t>Black</t>
  </si>
  <si>
    <t>Species</t>
  </si>
  <si>
    <t>Maple,</t>
  </si>
  <si>
    <t>Western red</t>
  </si>
  <si>
    <t>Redwood,</t>
  </si>
  <si>
    <t>Cedar,</t>
  </si>
  <si>
    <t>Spruce,</t>
  </si>
  <si>
    <t>Vlc</t>
  </si>
  <si>
    <t>Vcl</t>
  </si>
  <si>
    <t>VlcxVcl</t>
  </si>
  <si>
    <t>Average</t>
  </si>
  <si>
    <t>Used Value</t>
  </si>
  <si>
    <t>Suggested Avg</t>
  </si>
  <si>
    <t>mm</t>
  </si>
  <si>
    <t>Denominator</t>
  </si>
  <si>
    <t>Numerator</t>
  </si>
  <si>
    <t>Panel Type</t>
  </si>
  <si>
    <t>Value</t>
  </si>
  <si>
    <t>Steel String Top</t>
  </si>
  <si>
    <t>Steel String Back</t>
  </si>
  <si>
    <t>Traditional Classical Top</t>
  </si>
  <si>
    <t>Traditional Classical Back</t>
  </si>
  <si>
    <t>Plate</t>
  </si>
  <si>
    <t>Lower Bout</t>
  </si>
  <si>
    <t>From Session 4 Slides 14 and 15</t>
  </si>
  <si>
    <t>Youngs Modulus - Dynamic Method and Top Thickness</t>
  </si>
  <si>
    <t>Type</t>
  </si>
  <si>
    <t>Wood</t>
  </si>
  <si>
    <t>Body</t>
  </si>
  <si>
    <t>Englemann Spruce</t>
  </si>
  <si>
    <t>Area</t>
  </si>
  <si>
    <t>Panel</t>
  </si>
  <si>
    <t>m^2</t>
  </si>
  <si>
    <t>gm</t>
  </si>
  <si>
    <t>Guitar Characteristics</t>
  </si>
  <si>
    <t>Place Vibrational Stiffness</t>
  </si>
  <si>
    <t>PanelType</t>
  </si>
  <si>
    <t>Plate Vibrational Stiffness</t>
  </si>
  <si>
    <t>Port Orford Cedar</t>
  </si>
  <si>
    <t>Western Red Cedar</t>
  </si>
  <si>
    <t>Top Woods</t>
  </si>
  <si>
    <t>Back Woods</t>
  </si>
  <si>
    <t>East Indian Rosewood</t>
  </si>
  <si>
    <r>
      <t>E</t>
    </r>
    <r>
      <rPr>
        <vertAlign val="subscript"/>
        <sz val="10"/>
        <color rgb="FF000000"/>
        <rFont val="Arial"/>
        <family val="2"/>
      </rPr>
      <t>L</t>
    </r>
  </si>
  <si>
    <t>Density 𝜌</t>
  </si>
  <si>
    <r>
      <t>f</t>
    </r>
    <r>
      <rPr>
        <vertAlign val="subscript"/>
        <sz val="10"/>
        <rFont val="Arial"/>
        <family val="2"/>
      </rPr>
      <t>L</t>
    </r>
  </si>
  <si>
    <r>
      <t>f</t>
    </r>
    <r>
      <rPr>
        <vertAlign val="subscript"/>
        <sz val="10"/>
        <rFont val="Arial"/>
        <family val="2"/>
      </rPr>
      <t>C</t>
    </r>
  </si>
  <si>
    <r>
      <t>f</t>
    </r>
    <r>
      <rPr>
        <vertAlign val="subscript"/>
        <sz val="10"/>
        <rFont val="Arial"/>
        <family val="2"/>
      </rPr>
      <t>LC</t>
    </r>
  </si>
  <si>
    <r>
      <t>E</t>
    </r>
    <r>
      <rPr>
        <vertAlign val="subscript"/>
        <sz val="10"/>
        <rFont val="Arial"/>
        <family val="2"/>
      </rPr>
      <t>C</t>
    </r>
  </si>
  <si>
    <r>
      <t>E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>/E</t>
    </r>
    <r>
      <rPr>
        <vertAlign val="subscript"/>
        <sz val="10"/>
        <rFont val="Arial"/>
        <family val="2"/>
      </rPr>
      <t>C</t>
    </r>
  </si>
  <si>
    <r>
      <t>G</t>
    </r>
    <r>
      <rPr>
        <vertAlign val="subscript"/>
        <sz val="10"/>
        <rFont val="Arial"/>
        <family val="2"/>
      </rPr>
      <t>LC</t>
    </r>
  </si>
  <si>
    <r>
      <t>V</t>
    </r>
    <r>
      <rPr>
        <vertAlign val="subscript"/>
        <sz val="10"/>
        <rFont val="Arial"/>
        <family val="2"/>
      </rPr>
      <t>lc</t>
    </r>
  </si>
  <si>
    <r>
      <t>V</t>
    </r>
    <r>
      <rPr>
        <vertAlign val="subscript"/>
        <sz val="10"/>
        <rFont val="Arial"/>
        <family val="2"/>
      </rPr>
      <t>cl</t>
    </r>
  </si>
  <si>
    <r>
      <t>V</t>
    </r>
    <r>
      <rPr>
        <vertAlign val="subscript"/>
        <sz val="10"/>
        <rFont val="Arial"/>
        <family val="2"/>
      </rPr>
      <t>lc</t>
    </r>
    <r>
      <rPr>
        <sz val="10"/>
        <rFont val="Arial"/>
        <family val="2"/>
      </rPr>
      <t>V</t>
    </r>
    <r>
      <rPr>
        <vertAlign val="subscript"/>
        <sz val="10"/>
        <rFont val="Arial"/>
        <family val="2"/>
      </rPr>
      <t>cl</t>
    </r>
  </si>
  <si>
    <t>Thickness h</t>
  </si>
  <si>
    <r>
      <t>Thickness h</t>
    </r>
    <r>
      <rPr>
        <vertAlign val="subscript"/>
        <sz val="10"/>
        <rFont val="Arial"/>
        <family val="2"/>
      </rPr>
      <t>d</t>
    </r>
  </si>
  <si>
    <t>Length a</t>
  </si>
  <si>
    <t>Width b</t>
  </si>
  <si>
    <t>Coef_2</t>
  </si>
  <si>
    <t>Coef_3</t>
  </si>
  <si>
    <t>Coef_4</t>
  </si>
  <si>
    <r>
      <t>Coef</t>
    </r>
    <r>
      <rPr>
        <vertAlign val="subscript"/>
        <sz val="10"/>
        <rFont val="Arial"/>
        <family val="2"/>
      </rPr>
      <t>1</t>
    </r>
  </si>
  <si>
    <r>
      <t>f</t>
    </r>
    <r>
      <rPr>
        <vertAlign val="subscript"/>
        <sz val="10"/>
        <rFont val="Arial"/>
        <family val="2"/>
      </rPr>
      <t>vs</t>
    </r>
  </si>
  <si>
    <r>
      <t>Load</t>
    </r>
    <r>
      <rPr>
        <vertAlign val="subscript"/>
        <sz val="10"/>
        <rFont val="Arial"/>
        <family val="2"/>
      </rPr>
      <t>L</t>
    </r>
  </si>
  <si>
    <r>
      <t>Span</t>
    </r>
    <r>
      <rPr>
        <vertAlign val="subscript"/>
        <sz val="10"/>
        <rFont val="Arial"/>
        <family val="2"/>
      </rPr>
      <t>L</t>
    </r>
  </si>
  <si>
    <r>
      <t>Width</t>
    </r>
    <r>
      <rPr>
        <vertAlign val="subscript"/>
        <sz val="10"/>
        <rFont val="Arial"/>
        <family val="2"/>
      </rPr>
      <t>L</t>
    </r>
  </si>
  <si>
    <r>
      <t>Load</t>
    </r>
    <r>
      <rPr>
        <vertAlign val="subscript"/>
        <sz val="10"/>
        <rFont val="Arial"/>
        <family val="2"/>
      </rPr>
      <t>C</t>
    </r>
  </si>
  <si>
    <r>
      <t>Span</t>
    </r>
    <r>
      <rPr>
        <vertAlign val="subscript"/>
        <sz val="10"/>
        <rFont val="Arial"/>
        <family val="2"/>
      </rPr>
      <t>C</t>
    </r>
  </si>
  <si>
    <r>
      <t>Width</t>
    </r>
    <r>
      <rPr>
        <vertAlign val="subscript"/>
        <sz val="10"/>
        <rFont val="Arial"/>
        <family val="2"/>
      </rPr>
      <t>C</t>
    </r>
  </si>
  <si>
    <t>Youngs Modulus - Static  Method and Top Thickness</t>
  </si>
  <si>
    <t>C</t>
  </si>
  <si>
    <t>Cordoba C1</t>
  </si>
  <si>
    <t>Load (Kgm)</t>
  </si>
  <si>
    <t>Comedy of Errors</t>
  </si>
  <si>
    <t>2021 Guitar</t>
  </si>
  <si>
    <r>
      <t>δ</t>
    </r>
    <r>
      <rPr>
        <vertAlign val="subscript"/>
        <sz val="10"/>
        <rFont val="Arial"/>
        <family val="2"/>
      </rPr>
      <t>𝐿</t>
    </r>
  </si>
  <si>
    <r>
      <t>δ</t>
    </r>
    <r>
      <rPr>
        <vertAlign val="subscript"/>
        <sz val="10"/>
        <rFont val="Arial"/>
        <family val="2"/>
      </rPr>
      <t>C</t>
    </r>
  </si>
  <si>
    <t>Section 4.4.5 in the Design book</t>
  </si>
  <si>
    <t>1. Mesure the width of the guitar at a point 50mm from the saddle to the sound hole</t>
  </si>
  <si>
    <t>2. Measure the brace diemnsions at this section through the soundboard</t>
  </si>
  <si>
    <t>3. Compute second moment of area of each brace and the top at the 50mm point.</t>
  </si>
  <si>
    <t>4. Determine E for the wood used for the top and used for the braces (12 Gpa [used in Table 4.4-2] or 15 GPa can be used as an average)</t>
  </si>
  <si>
    <t>5. Use Top E as standard and scale the width of the braces based on the E of the wood used for the braaces (Simple convention approximation is same as top)</t>
  </si>
  <si>
    <t>6. Compute the Centroid of the assembled top and then use the parallel axis theorem to determine the second moment of area for the assembly</t>
  </si>
  <si>
    <t>7. Calculate EI (flexural rigidity) using the E for the "standard" and the second moment of area for the assembly</t>
  </si>
  <si>
    <t>8. Compare with the desired model in Fig. 4.4-9</t>
  </si>
  <si>
    <t>9. Adjust top thickness and braces dimensions to get the desired value.</t>
  </si>
  <si>
    <r>
      <t>Note: Use thickness for top determined on one of the other sheets in this spreadsheet as well as use the E</t>
    </r>
    <r>
      <rPr>
        <vertAlign val="subscript"/>
        <sz val="10"/>
        <rFont val="Arial"/>
        <family val="2"/>
      </rPr>
      <t>l</t>
    </r>
    <r>
      <rPr>
        <sz val="10"/>
        <rFont val="Arial"/>
        <family val="2"/>
      </rPr>
      <t xml:space="preserve"> as well.</t>
    </r>
  </si>
  <si>
    <t>Brace Species</t>
  </si>
  <si>
    <t>Young's
Modulus</t>
  </si>
  <si>
    <t>Brace
Density</t>
  </si>
  <si>
    <t>Kg/m^3</t>
  </si>
  <si>
    <t>Typical
Modulus of
Rupture</t>
  </si>
  <si>
    <t>Mpa</t>
  </si>
  <si>
    <t>Allowable
stress
(50% MOR)</t>
  </si>
  <si>
    <t>Equivalent EI
for Braced
Soundboard</t>
  </si>
  <si>
    <t>Nm^2</t>
  </si>
  <si>
    <t>Equivalent I
for Braced
Soundboard</t>
  </si>
  <si>
    <t>m^4</t>
  </si>
  <si>
    <t>Neutral
Axis
Position, x</t>
  </si>
  <si>
    <t>Max.distance of
brace material from
Neutral Axis, y</t>
  </si>
  <si>
    <t>Actual
Peak
Stress</t>
  </si>
  <si>
    <t>Peak Stress/
Allowable Stress</t>
  </si>
  <si>
    <t>Sitka Spruce</t>
  </si>
  <si>
    <t>King William Pine</t>
  </si>
  <si>
    <t>Australian Silver Ash</t>
  </si>
  <si>
    <t>Balsa</t>
  </si>
  <si>
    <t>Balsa x 5.5</t>
  </si>
  <si>
    <t>Top</t>
  </si>
  <si>
    <t>Height</t>
  </si>
  <si>
    <t>Triangle</t>
  </si>
  <si>
    <t>EI</t>
  </si>
  <si>
    <t>Combined</t>
  </si>
  <si>
    <t>m^3</t>
  </si>
  <si>
    <r>
      <t>Centroid
C</t>
    </r>
    <r>
      <rPr>
        <vertAlign val="subscript"/>
        <sz val="10"/>
        <rFont val="Arial"/>
        <family val="2"/>
      </rPr>
      <t>i</t>
    </r>
  </si>
  <si>
    <r>
      <t>Area
A</t>
    </r>
    <r>
      <rPr>
        <vertAlign val="subscript"/>
        <sz val="10"/>
        <rFont val="Arial"/>
        <family val="2"/>
      </rPr>
      <t>i</t>
    </r>
  </si>
  <si>
    <r>
      <t>A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xC</t>
    </r>
    <r>
      <rPr>
        <vertAlign val="subscript"/>
        <sz val="10"/>
        <rFont val="Arial"/>
        <family val="2"/>
      </rPr>
      <t>i</t>
    </r>
  </si>
  <si>
    <r>
      <t>C</t>
    </r>
    <r>
      <rPr>
        <vertAlign val="subscript"/>
        <sz val="10"/>
        <rFont val="Arial"/>
        <family val="2"/>
      </rPr>
      <t>S</t>
    </r>
  </si>
  <si>
    <r>
      <t>I</t>
    </r>
    <r>
      <rPr>
        <vertAlign val="subscript"/>
        <sz val="10"/>
        <rFont val="Arial"/>
        <family val="2"/>
      </rPr>
      <t>i</t>
    </r>
  </si>
  <si>
    <t>Ii + Ai*(Ci-Cs)</t>
  </si>
  <si>
    <t>Centroid
of
Object</t>
  </si>
  <si>
    <r>
      <t>I</t>
    </r>
    <r>
      <rPr>
        <vertAlign val="subscript"/>
        <sz val="10"/>
        <rFont val="Arial"/>
        <family val="2"/>
      </rPr>
      <t>s</t>
    </r>
  </si>
  <si>
    <r>
      <t>EI</t>
    </r>
    <r>
      <rPr>
        <vertAlign val="subscript"/>
        <sz val="10"/>
        <rFont val="Arial"/>
        <family val="2"/>
      </rPr>
      <t>s</t>
    </r>
  </si>
  <si>
    <t>Brace 1 Triangle</t>
  </si>
  <si>
    <t>Brace 2 Triangle</t>
  </si>
  <si>
    <t>Brace 3 Triangle</t>
  </si>
  <si>
    <t>Brace 4 Triangle</t>
  </si>
  <si>
    <t>Brace 2 Rectangle</t>
  </si>
  <si>
    <t>Brace 3 Rectangle</t>
  </si>
  <si>
    <t>Young's Modulus</t>
  </si>
  <si>
    <t>Width
Modifier</t>
  </si>
  <si>
    <t>Equivalent
Width</t>
  </si>
  <si>
    <t>Brace
GPa</t>
  </si>
  <si>
    <t>Soundoard
GPa</t>
  </si>
  <si>
    <t>Flexural Rigidity</t>
  </si>
  <si>
    <t xml:space="preserve"> </t>
  </si>
  <si>
    <t>Spruce (mac)</t>
  </si>
  <si>
    <t>Spruce (ipad)</t>
  </si>
  <si>
    <t>Spruce (iphone)</t>
  </si>
  <si>
    <t>Mine Englemann Spruce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</si>
</sst>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&quot;$&quot;* #,##0.00_-;\-&quot;$&quot;* #,##0.00_-;_-&quot;$&quot;* &quot;-&quot;??_-;_-@_-"/>
    <numFmt numFmtId="166" formatCode="0.000"/>
    <numFmt numFmtId="167" formatCode="0.0"/>
    <numFmt numFmtId="168" formatCode="0.00000"/>
    <numFmt numFmtId="169" formatCode="0.0000"/>
    <numFmt numFmtId="170" formatCode="0.000E+00"/>
    <numFmt numFmtId="171" formatCode="0.000000"/>
    <numFmt numFmtId="172" formatCode="0.00000000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4"/>
      <name val="Georgia"/>
      <family val="1"/>
    </font>
    <font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i/>
      <vertAlign val="subscript"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A0101"/>
      <name val="Arial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8" fillId="0" borderId="0" applyNumberFormat="0" applyAlignment="0">
      <alignment horizontal="center"/>
    </xf>
  </cellStyleXfs>
  <cellXfs count="2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3" fillId="0" borderId="0" xfId="0" applyFont="1"/>
    <xf numFmtId="0" fontId="0" fillId="2" borderId="0" xfId="0" applyFill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4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4" borderId="7" xfId="0" applyFill="1" applyBorder="1"/>
    <xf numFmtId="0" fontId="3" fillId="0" borderId="9" xfId="0" applyFont="1" applyBorder="1"/>
    <xf numFmtId="2" fontId="3" fillId="0" borderId="9" xfId="0" applyNumberFormat="1" applyFont="1" applyBorder="1" applyAlignment="1">
      <alignment horizontal="center"/>
    </xf>
    <xf numFmtId="0" fontId="0" fillId="3" borderId="8" xfId="0" applyFill="1" applyBorder="1"/>
    <xf numFmtId="0" fontId="3" fillId="3" borderId="8" xfId="0" applyFont="1" applyFill="1" applyBorder="1" applyAlignment="1">
      <alignment horizontal="right"/>
    </xf>
    <xf numFmtId="0" fontId="3" fillId="3" borderId="10" xfId="0" applyFont="1" applyFill="1" applyBorder="1"/>
    <xf numFmtId="0" fontId="0" fillId="0" borderId="17" xfId="0" applyBorder="1"/>
    <xf numFmtId="0" fontId="3" fillId="3" borderId="8" xfId="0" applyFont="1" applyFill="1" applyBorder="1"/>
    <xf numFmtId="0" fontId="5" fillId="4" borderId="18" xfId="2" applyNumberFormat="1" applyFont="1" applyFill="1" applyBorder="1" applyAlignment="1">
      <alignment horizontal="center"/>
    </xf>
    <xf numFmtId="0" fontId="0" fillId="4" borderId="18" xfId="0" applyFill="1" applyBorder="1"/>
    <xf numFmtId="166" fontId="5" fillId="4" borderId="18" xfId="2" applyNumberFormat="1" applyFont="1" applyFill="1" applyBorder="1" applyAlignment="1">
      <alignment horizontal="center"/>
    </xf>
    <xf numFmtId="11" fontId="0" fillId="0" borderId="0" xfId="0" applyNumberFormat="1"/>
    <xf numFmtId="2" fontId="0" fillId="4" borderId="19" xfId="0" applyNumberFormat="1" applyFill="1" applyBorder="1"/>
    <xf numFmtId="11" fontId="0" fillId="4" borderId="19" xfId="0" applyNumberFormat="1" applyFill="1" applyBorder="1"/>
    <xf numFmtId="167" fontId="0" fillId="4" borderId="18" xfId="0" applyNumberFormat="1" applyFill="1" applyBorder="1" applyAlignment="1">
      <alignment horizontal="center"/>
    </xf>
    <xf numFmtId="2" fontId="3" fillId="0" borderId="18" xfId="0" applyNumberFormat="1" applyFont="1" applyBorder="1"/>
    <xf numFmtId="167" fontId="3" fillId="0" borderId="0" xfId="0" applyNumberFormat="1" applyFont="1" applyAlignment="1">
      <alignment horizontal="center"/>
    </xf>
    <xf numFmtId="2" fontId="0" fillId="0" borderId="0" xfId="0" applyNumberFormat="1"/>
    <xf numFmtId="0" fontId="5" fillId="3" borderId="18" xfId="2" applyNumberFormat="1" applyFont="1" applyFill="1" applyBorder="1" applyAlignment="1">
      <alignment horizontal="center"/>
    </xf>
    <xf numFmtId="0" fontId="0" fillId="2" borderId="18" xfId="0" applyFill="1" applyBorder="1" applyProtection="1">
      <protection locked="0"/>
    </xf>
    <xf numFmtId="0" fontId="0" fillId="3" borderId="18" xfId="0" applyFill="1" applyBorder="1" applyAlignment="1">
      <alignment horizontal="center"/>
    </xf>
    <xf numFmtId="0" fontId="0" fillId="3" borderId="18" xfId="0" applyFill="1" applyBorder="1"/>
    <xf numFmtId="168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3" xfId="0" applyFill="1" applyBorder="1"/>
    <xf numFmtId="1" fontId="0" fillId="2" borderId="0" xfId="0" applyNumberFormat="1" applyFill="1"/>
    <xf numFmtId="2" fontId="0" fillId="2" borderId="0" xfId="0" applyNumberFormat="1" applyFill="1"/>
    <xf numFmtId="2" fontId="0" fillId="4" borderId="0" xfId="0" applyNumberFormat="1" applyFill="1"/>
    <xf numFmtId="2" fontId="0" fillId="2" borderId="0" xfId="0" applyNumberFormat="1" applyFill="1" applyAlignment="1">
      <alignment horizontal="right"/>
    </xf>
    <xf numFmtId="1" fontId="0" fillId="2" borderId="6" xfId="0" applyNumberFormat="1" applyFill="1" applyBorder="1"/>
    <xf numFmtId="2" fontId="0" fillId="2" borderId="6" xfId="0" applyNumberFormat="1" applyFill="1" applyBorder="1"/>
    <xf numFmtId="2" fontId="0" fillId="4" borderId="6" xfId="0" applyNumberFormat="1" applyFill="1" applyBorder="1"/>
    <xf numFmtId="168" fontId="3" fillId="0" borderId="0" xfId="0" applyNumberFormat="1" applyFont="1"/>
    <xf numFmtId="167" fontId="3" fillId="0" borderId="4" xfId="0" applyNumberFormat="1" applyFont="1" applyBorder="1"/>
    <xf numFmtId="168" fontId="0" fillId="2" borderId="0" xfId="0" applyNumberFormat="1" applyFill="1"/>
    <xf numFmtId="168" fontId="0" fillId="2" borderId="6" xfId="0" applyNumberFormat="1" applyFill="1" applyBorder="1"/>
    <xf numFmtId="168" fontId="3" fillId="0" borderId="6" xfId="0" applyNumberFormat="1" applyFont="1" applyBorder="1"/>
    <xf numFmtId="167" fontId="3" fillId="0" borderId="7" xfId="0" applyNumberFormat="1" applyFont="1" applyBorder="1"/>
    <xf numFmtId="167" fontId="3" fillId="0" borderId="0" xfId="0" applyNumberFormat="1" applyFont="1"/>
    <xf numFmtId="0" fontId="0" fillId="5" borderId="23" xfId="0" applyFill="1" applyBorder="1"/>
    <xf numFmtId="0" fontId="0" fillId="5" borderId="24" xfId="0" applyFill="1" applyBorder="1"/>
    <xf numFmtId="167" fontId="3" fillId="0" borderId="25" xfId="0" applyNumberFormat="1" applyFont="1" applyBorder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10" fillId="0" borderId="0" xfId="0" applyFont="1" applyAlignment="1">
      <alignment horizontal="right"/>
    </xf>
    <xf numFmtId="0" fontId="0" fillId="6" borderId="26" xfId="0" applyFill="1" applyBorder="1"/>
    <xf numFmtId="0" fontId="0" fillId="6" borderId="27" xfId="0" applyFill="1" applyBorder="1"/>
    <xf numFmtId="167" fontId="3" fillId="6" borderId="28" xfId="0" applyNumberFormat="1" applyFont="1" applyFill="1" applyBorder="1"/>
    <xf numFmtId="0" fontId="0" fillId="3" borderId="14" xfId="0" applyFill="1" applyBorder="1" applyAlignment="1">
      <alignment wrapText="1"/>
    </xf>
    <xf numFmtId="167" fontId="0" fillId="0" borderId="4" xfId="0" applyNumberFormat="1" applyBorder="1"/>
    <xf numFmtId="167" fontId="0" fillId="0" borderId="7" xfId="0" applyNumberFormat="1" applyBorder="1"/>
    <xf numFmtId="0" fontId="0" fillId="0" borderId="29" xfId="0" applyBorder="1"/>
    <xf numFmtId="0" fontId="0" fillId="0" borderId="26" xfId="0" applyBorder="1"/>
    <xf numFmtId="0" fontId="0" fillId="0" borderId="23" xfId="0" applyBorder="1"/>
    <xf numFmtId="0" fontId="11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11" fillId="3" borderId="32" xfId="0" applyFont="1" applyFill="1" applyBorder="1" applyAlignment="1">
      <alignment horizontal="center"/>
    </xf>
    <xf numFmtId="0" fontId="0" fillId="0" borderId="33" xfId="0" applyBorder="1"/>
    <xf numFmtId="1" fontId="0" fillId="4" borderId="34" xfId="0" applyNumberFormat="1" applyFill="1" applyBorder="1"/>
    <xf numFmtId="1" fontId="0" fillId="4" borderId="27" xfId="0" applyNumberFormat="1" applyFill="1" applyBorder="1"/>
    <xf numFmtId="0" fontId="0" fillId="4" borderId="34" xfId="0" applyFill="1" applyBorder="1"/>
    <xf numFmtId="0" fontId="0" fillId="4" borderId="27" xfId="0" applyFill="1" applyBorder="1"/>
    <xf numFmtId="0" fontId="0" fillId="7" borderId="34" xfId="0" applyFill="1" applyBorder="1"/>
    <xf numFmtId="0" fontId="0" fillId="7" borderId="27" xfId="0" applyFill="1" applyBorder="1"/>
    <xf numFmtId="0" fontId="0" fillId="2" borderId="34" xfId="0" applyFill="1" applyBorder="1"/>
    <xf numFmtId="0" fontId="0" fillId="2" borderId="27" xfId="0" applyFill="1" applyBorder="1"/>
    <xf numFmtId="2" fontId="0" fillId="2" borderId="35" xfId="0" applyNumberFormat="1" applyFill="1" applyBorder="1"/>
    <xf numFmtId="2" fontId="0" fillId="2" borderId="33" xfId="0" applyNumberFormat="1" applyFill="1" applyBorder="1"/>
    <xf numFmtId="0" fontId="5" fillId="3" borderId="0" xfId="0" applyFont="1" applyFill="1"/>
    <xf numFmtId="2" fontId="0" fillId="0" borderId="0" xfId="0" applyNumberForma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0" borderId="0" xfId="1" applyNumberFormat="1" applyFont="1"/>
    <xf numFmtId="2" fontId="3" fillId="4" borderId="34" xfId="0" applyNumberFormat="1" applyFont="1" applyFill="1" applyBorder="1"/>
    <xf numFmtId="2" fontId="3" fillId="4" borderId="27" xfId="0" applyNumberFormat="1" applyFont="1" applyFill="1" applyBorder="1"/>
    <xf numFmtId="0" fontId="0" fillId="0" borderId="0" xfId="0" applyAlignment="1">
      <alignment vertical="top"/>
    </xf>
    <xf numFmtId="169" fontId="0" fillId="0" borderId="0" xfId="0" applyNumberFormat="1" applyAlignment="1">
      <alignment vertical="top"/>
    </xf>
    <xf numFmtId="0" fontId="0" fillId="0" borderId="37" xfId="0" applyBorder="1" applyAlignment="1">
      <alignment horizontal="center" vertical="top"/>
    </xf>
    <xf numFmtId="0" fontId="0" fillId="0" borderId="38" xfId="0" applyBorder="1"/>
    <xf numFmtId="0" fontId="0" fillId="0" borderId="38" xfId="0" applyBorder="1" applyAlignment="1">
      <alignment vertical="top"/>
    </xf>
    <xf numFmtId="169" fontId="0" fillId="0" borderId="38" xfId="0" applyNumberFormat="1" applyBorder="1"/>
    <xf numFmtId="2" fontId="5" fillId="0" borderId="0" xfId="0" applyNumberFormat="1" applyFont="1"/>
    <xf numFmtId="0" fontId="5" fillId="0" borderId="0" xfId="0" applyFont="1"/>
    <xf numFmtId="169" fontId="0" fillId="2" borderId="0" xfId="0" applyNumberFormat="1" applyFill="1"/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3" borderId="18" xfId="0" applyFill="1" applyBorder="1" applyAlignment="1">
      <alignment horizontal="center" vertical="top"/>
    </xf>
    <xf numFmtId="0" fontId="0" fillId="0" borderId="18" xfId="0" applyBorder="1" applyAlignment="1">
      <alignment vertical="top"/>
    </xf>
    <xf numFmtId="2" fontId="0" fillId="0" borderId="0" xfId="0" applyNumberFormat="1" applyAlignment="1">
      <alignment vertical="top"/>
    </xf>
    <xf numFmtId="0" fontId="0" fillId="8" borderId="18" xfId="0" applyFill="1" applyBorder="1" applyAlignment="1">
      <alignment horizontal="center" vertical="top"/>
    </xf>
    <xf numFmtId="2" fontId="5" fillId="0" borderId="0" xfId="0" applyNumberFormat="1" applyFont="1" applyAlignment="1">
      <alignment vertical="top"/>
    </xf>
    <xf numFmtId="170" fontId="0" fillId="0" borderId="0" xfId="0" applyNumberFormat="1"/>
    <xf numFmtId="11" fontId="5" fillId="4" borderId="19" xfId="0" applyNumberFormat="1" applyFont="1" applyFill="1" applyBorder="1"/>
    <xf numFmtId="0" fontId="0" fillId="0" borderId="0" xfId="0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8" borderId="18" xfId="0" applyFill="1" applyBorder="1" applyAlignment="1" applyProtection="1">
      <alignment horizontal="center" vertical="top"/>
      <protection locked="0"/>
    </xf>
    <xf numFmtId="2" fontId="3" fillId="0" borderId="0" xfId="0" applyNumberFormat="1" applyFont="1" applyAlignment="1">
      <alignment vertical="top"/>
    </xf>
    <xf numFmtId="169" fontId="0" fillId="0" borderId="38" xfId="0" applyNumberFormat="1" applyBorder="1" applyAlignment="1">
      <alignment vertical="top"/>
    </xf>
    <xf numFmtId="170" fontId="0" fillId="0" borderId="0" xfId="0" applyNumberFormat="1" applyAlignment="1">
      <alignment vertical="top"/>
    </xf>
    <xf numFmtId="0" fontId="5" fillId="3" borderId="18" xfId="2" applyNumberFormat="1" applyFont="1" applyFill="1" applyBorder="1" applyAlignment="1">
      <alignment horizontal="center" vertical="top"/>
    </xf>
    <xf numFmtId="169" fontId="0" fillId="2" borderId="18" xfId="0" applyNumberFormat="1" applyFill="1" applyBorder="1" applyAlignment="1">
      <alignment vertical="top"/>
    </xf>
    <xf numFmtId="2" fontId="5" fillId="0" borderId="18" xfId="0" applyNumberFormat="1" applyFont="1" applyBorder="1" applyAlignment="1">
      <alignment vertical="top"/>
    </xf>
    <xf numFmtId="168" fontId="0" fillId="4" borderId="19" xfId="0" applyNumberFormat="1" applyFill="1" applyBorder="1" applyAlignment="1">
      <alignment vertical="top"/>
    </xf>
    <xf numFmtId="0" fontId="0" fillId="2" borderId="18" xfId="0" applyFill="1" applyBorder="1" applyAlignment="1" applyProtection="1">
      <alignment horizontal="right" vertical="top"/>
      <protection locked="0"/>
    </xf>
    <xf numFmtId="2" fontId="0" fillId="4" borderId="19" xfId="0" applyNumberFormat="1" applyFill="1" applyBorder="1" applyAlignment="1">
      <alignment horizontal="right" vertical="top"/>
    </xf>
    <xf numFmtId="2" fontId="5" fillId="4" borderId="19" xfId="0" applyNumberFormat="1" applyFont="1" applyFill="1" applyBorder="1" applyAlignment="1">
      <alignment horizontal="right" vertical="top"/>
    </xf>
    <xf numFmtId="167" fontId="0" fillId="4" borderId="18" xfId="0" applyNumberFormat="1" applyFill="1" applyBorder="1" applyAlignment="1">
      <alignment horizontal="right" vertical="top"/>
    </xf>
    <xf numFmtId="0" fontId="0" fillId="2" borderId="18" xfId="0" applyFill="1" applyBorder="1" applyAlignment="1">
      <alignment horizontal="right" vertical="top"/>
    </xf>
    <xf numFmtId="11" fontId="0" fillId="4" borderId="18" xfId="0" applyNumberFormat="1" applyFill="1" applyBorder="1" applyAlignment="1">
      <alignment horizontal="right" vertical="top"/>
    </xf>
    <xf numFmtId="1" fontId="0" fillId="4" borderId="18" xfId="0" applyNumberFormat="1" applyFill="1" applyBorder="1" applyAlignment="1">
      <alignment horizontal="right" vertical="top"/>
    </xf>
    <xf numFmtId="0" fontId="0" fillId="8" borderId="19" xfId="0" applyFill="1" applyBorder="1" applyAlignment="1">
      <alignment horizontal="center" vertical="top"/>
    </xf>
    <xf numFmtId="0" fontId="5" fillId="0" borderId="39" xfId="0" applyFont="1" applyBorder="1" applyAlignment="1">
      <alignment vertical="top"/>
    </xf>
    <xf numFmtId="167" fontId="0" fillId="0" borderId="40" xfId="0" applyNumberForma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5" fillId="0" borderId="35" xfId="0" applyFont="1" applyBorder="1" applyAlignment="1">
      <alignment vertical="top"/>
    </xf>
    <xf numFmtId="167" fontId="0" fillId="0" borderId="43" xfId="0" applyNumberFormat="1" applyBorder="1" applyAlignment="1">
      <alignment vertical="top"/>
    </xf>
    <xf numFmtId="0" fontId="15" fillId="0" borderId="0" xfId="0" applyFont="1"/>
    <xf numFmtId="167" fontId="0" fillId="0" borderId="0" xfId="0" applyNumberFormat="1" applyAlignment="1">
      <alignment vertical="top"/>
    </xf>
    <xf numFmtId="167" fontId="0" fillId="4" borderId="19" xfId="0" applyNumberFormat="1" applyFill="1" applyBorder="1" applyAlignment="1">
      <alignment horizontal="right" vertical="top"/>
    </xf>
    <xf numFmtId="166" fontId="0" fillId="2" borderId="18" xfId="0" applyNumberFormat="1" applyFill="1" applyBorder="1" applyAlignment="1" applyProtection="1">
      <alignment horizontal="right" vertical="top"/>
      <protection locked="0"/>
    </xf>
    <xf numFmtId="168" fontId="0" fillId="2" borderId="18" xfId="0" applyNumberFormat="1" applyFill="1" applyBorder="1" applyAlignment="1" applyProtection="1">
      <alignment horizontal="right" vertical="top"/>
      <protection locked="0"/>
    </xf>
    <xf numFmtId="167" fontId="0" fillId="2" borderId="18" xfId="0" applyNumberFormat="1" applyFill="1" applyBorder="1" applyAlignment="1" applyProtection="1">
      <alignment horizontal="right" vertical="top"/>
      <protection locked="0"/>
    </xf>
    <xf numFmtId="1" fontId="0" fillId="0" borderId="0" xfId="0" applyNumberFormat="1" applyAlignment="1">
      <alignment vertical="top"/>
    </xf>
    <xf numFmtId="2" fontId="0" fillId="9" borderId="18" xfId="0" applyNumberFormat="1" applyFill="1" applyBorder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8" xfId="0" applyBorder="1" applyAlignment="1" applyProtection="1">
      <alignment horizontal="center" vertical="top"/>
      <protection locked="0"/>
    </xf>
    <xf numFmtId="0" fontId="5" fillId="0" borderId="1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19" xfId="0" applyFont="1" applyBorder="1" applyAlignment="1">
      <alignment vertical="top"/>
    </xf>
    <xf numFmtId="0" fontId="5" fillId="0" borderId="37" xfId="0" applyFont="1" applyBorder="1" applyAlignment="1">
      <alignment horizontal="center" vertical="top"/>
    </xf>
    <xf numFmtId="0" fontId="5" fillId="8" borderId="19" xfId="0" applyFont="1" applyFill="1" applyBorder="1" applyAlignment="1">
      <alignment horizontal="center" vertical="top"/>
    </xf>
    <xf numFmtId="0" fontId="5" fillId="8" borderId="18" xfId="0" applyFont="1" applyFill="1" applyBorder="1" applyAlignment="1">
      <alignment horizontal="center" vertical="top"/>
    </xf>
    <xf numFmtId="0" fontId="16" fillId="8" borderId="18" xfId="0" applyFont="1" applyFill="1" applyBorder="1" applyAlignment="1">
      <alignment horizontal="center" vertical="top"/>
    </xf>
    <xf numFmtId="0" fontId="5" fillId="3" borderId="18" xfId="0" applyFont="1" applyFill="1" applyBorder="1" applyAlignment="1">
      <alignment horizontal="center" vertical="top"/>
    </xf>
    <xf numFmtId="0" fontId="5" fillId="8" borderId="18" xfId="0" applyFont="1" applyFill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19" xfId="0" applyBorder="1" applyAlignment="1" applyProtection="1">
      <alignment horizontal="center" vertical="top"/>
      <protection locked="0"/>
    </xf>
    <xf numFmtId="168" fontId="0" fillId="0" borderId="44" xfId="0" applyNumberFormat="1" applyBorder="1" applyAlignment="1">
      <alignment vertical="top"/>
    </xf>
    <xf numFmtId="168" fontId="0" fillId="0" borderId="0" xfId="0" applyNumberFormat="1" applyAlignment="1">
      <alignment vertical="top"/>
    </xf>
    <xf numFmtId="169" fontId="5" fillId="4" borderId="19" xfId="0" applyNumberFormat="1" applyFont="1" applyFill="1" applyBorder="1" applyAlignment="1">
      <alignment horizontal="right" vertical="top"/>
    </xf>
    <xf numFmtId="169" fontId="0" fillId="4" borderId="19" xfId="0" applyNumberFormat="1" applyFill="1" applyBorder="1" applyAlignment="1">
      <alignment horizontal="right" vertical="top"/>
    </xf>
    <xf numFmtId="0" fontId="0" fillId="2" borderId="18" xfId="0" applyFill="1" applyBorder="1"/>
    <xf numFmtId="167" fontId="0" fillId="4" borderId="42" xfId="0" applyNumberFormat="1" applyFill="1" applyBorder="1" applyAlignment="1">
      <alignment horizontal="right" vertical="top"/>
    </xf>
    <xf numFmtId="169" fontId="5" fillId="4" borderId="41" xfId="0" applyNumberFormat="1" applyFont="1" applyFill="1" applyBorder="1" applyAlignment="1">
      <alignment horizontal="right" vertical="top"/>
    </xf>
    <xf numFmtId="0" fontId="0" fillId="2" borderId="34" xfId="0" applyFill="1" applyBorder="1" applyAlignment="1" applyProtection="1">
      <alignment horizontal="right" vertical="top"/>
      <protection locked="0"/>
    </xf>
    <xf numFmtId="2" fontId="0" fillId="2" borderId="34" xfId="0" applyNumberFormat="1" applyFill="1" applyBorder="1" applyAlignment="1" applyProtection="1">
      <alignment horizontal="right" vertical="top"/>
      <protection locked="0"/>
    </xf>
    <xf numFmtId="169" fontId="0" fillId="2" borderId="34" xfId="0" applyNumberFormat="1" applyFill="1" applyBorder="1" applyAlignment="1" applyProtection="1">
      <alignment horizontal="right" vertical="top"/>
      <protection locked="0"/>
    </xf>
    <xf numFmtId="171" fontId="0" fillId="2" borderId="34" xfId="0" applyNumberFormat="1" applyFill="1" applyBorder="1" applyAlignment="1" applyProtection="1">
      <alignment horizontal="right" vertical="top"/>
      <protection locked="0"/>
    </xf>
    <xf numFmtId="0" fontId="0" fillId="2" borderId="27" xfId="0" applyFill="1" applyBorder="1" applyAlignment="1" applyProtection="1">
      <alignment horizontal="right" vertical="top"/>
      <protection locked="0"/>
    </xf>
    <xf numFmtId="172" fontId="0" fillId="2" borderId="4" xfId="0" applyNumberFormat="1" applyFill="1" applyBorder="1"/>
    <xf numFmtId="0" fontId="5" fillId="0" borderId="42" xfId="2" applyNumberFormat="1" applyFont="1" applyBorder="1" applyAlignment="1">
      <alignment horizontal="center" vertical="top"/>
    </xf>
    <xf numFmtId="0" fontId="5" fillId="0" borderId="41" xfId="0" applyFont="1" applyBorder="1" applyAlignment="1">
      <alignment horizontal="center" vertical="top"/>
    </xf>
    <xf numFmtId="168" fontId="0" fillId="0" borderId="33" xfId="0" applyNumberFormat="1" applyBorder="1" applyAlignment="1">
      <alignment vertical="top"/>
    </xf>
    <xf numFmtId="0" fontId="5" fillId="0" borderId="27" xfId="2" applyNumberFormat="1" applyFont="1" applyBorder="1" applyAlignment="1">
      <alignment horizontal="center" vertical="top"/>
    </xf>
    <xf numFmtId="168" fontId="0" fillId="0" borderId="27" xfId="0" applyNumberFormat="1" applyBorder="1" applyAlignment="1">
      <alignment vertical="top"/>
    </xf>
    <xf numFmtId="0" fontId="5" fillId="8" borderId="18" xfId="0" quotePrefix="1" applyFont="1" applyFill="1" applyBorder="1" applyAlignment="1">
      <alignment horizontal="center" vertical="top"/>
    </xf>
    <xf numFmtId="2" fontId="0" fillId="2" borderId="18" xfId="0" applyNumberFormat="1" applyFill="1" applyBorder="1" applyAlignment="1" applyProtection="1">
      <alignment horizontal="right" vertical="top"/>
      <protection locked="0"/>
    </xf>
    <xf numFmtId="169" fontId="5" fillId="4" borderId="18" xfId="0" applyNumberFormat="1" applyFont="1" applyFill="1" applyBorder="1" applyAlignment="1">
      <alignment horizontal="right" vertical="top"/>
    </xf>
    <xf numFmtId="169" fontId="0" fillId="4" borderId="18" xfId="0" applyNumberFormat="1" applyFill="1" applyBorder="1" applyAlignment="1">
      <alignment horizontal="right" vertical="top"/>
    </xf>
    <xf numFmtId="0" fontId="0" fillId="0" borderId="46" xfId="0" applyBorder="1"/>
    <xf numFmtId="0" fontId="0" fillId="0" borderId="45" xfId="0" applyBorder="1" applyAlignment="1">
      <alignment vertical="top" wrapText="1"/>
    </xf>
    <xf numFmtId="0" fontId="0" fillId="0" borderId="46" xfId="0" applyBorder="1" applyAlignment="1">
      <alignment vertical="top"/>
    </xf>
    <xf numFmtId="0" fontId="0" fillId="0" borderId="45" xfId="0" applyBorder="1" applyAlignment="1">
      <alignment vertical="top"/>
    </xf>
    <xf numFmtId="0" fontId="0" fillId="0" borderId="47" xfId="0" applyBorder="1" applyAlignment="1">
      <alignment vertical="top"/>
    </xf>
    <xf numFmtId="11" fontId="0" fillId="0" borderId="0" xfId="0" applyNumberFormat="1" applyAlignment="1">
      <alignment vertical="top"/>
    </xf>
    <xf numFmtId="0" fontId="0" fillId="0" borderId="4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7" fontId="0" fillId="0" borderId="1" xfId="0" applyNumberFormat="1" applyBorder="1" applyAlignment="1">
      <alignment horizontal="center" vertical="top"/>
    </xf>
    <xf numFmtId="11" fontId="0" fillId="0" borderId="1" xfId="0" applyNumberFormat="1" applyBorder="1" applyAlignment="1">
      <alignment horizontal="center" vertical="top"/>
    </xf>
    <xf numFmtId="9" fontId="0" fillId="0" borderId="2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9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2" fontId="0" fillId="0" borderId="6" xfId="0" applyNumberForma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167" fontId="0" fillId="0" borderId="6" xfId="0" applyNumberFormat="1" applyBorder="1" applyAlignment="1">
      <alignment horizontal="center" vertical="top"/>
    </xf>
    <xf numFmtId="11" fontId="0" fillId="0" borderId="6" xfId="0" applyNumberFormat="1" applyBorder="1" applyAlignment="1">
      <alignment horizontal="center" vertical="top"/>
    </xf>
    <xf numFmtId="9" fontId="0" fillId="0" borderId="7" xfId="0" applyNumberForma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68" fontId="0" fillId="0" borderId="6" xfId="0" applyNumberFormat="1" applyBorder="1"/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5" xfId="0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7" xfId="0" applyFont="1" applyBorder="1" applyAlignment="1">
      <alignment vertical="top"/>
    </xf>
    <xf numFmtId="0" fontId="5" fillId="0" borderId="7" xfId="0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168" fontId="0" fillId="0" borderId="17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1" fontId="0" fillId="0" borderId="1" xfId="0" applyNumberFormat="1" applyBorder="1" applyAlignment="1">
      <alignment horizontal="right" vertical="top"/>
    </xf>
    <xf numFmtId="11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8" fontId="0" fillId="0" borderId="3" xfId="0" applyNumberFormat="1" applyBorder="1" applyAlignment="1">
      <alignment horizontal="right" vertical="top"/>
    </xf>
    <xf numFmtId="168" fontId="0" fillId="0" borderId="0" xfId="0" applyNumberFormat="1" applyAlignment="1">
      <alignment horizontal="right" vertical="top"/>
    </xf>
    <xf numFmtId="11" fontId="0" fillId="0" borderId="0" xfId="0" applyNumberFormat="1" applyAlignment="1">
      <alignment horizontal="right" vertical="top"/>
    </xf>
    <xf numFmtId="11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168" fontId="0" fillId="0" borderId="5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1" fontId="0" fillId="0" borderId="6" xfId="0" applyNumberFormat="1" applyBorder="1" applyAlignment="1">
      <alignment horizontal="right" vertical="top"/>
    </xf>
    <xf numFmtId="11" fontId="0" fillId="0" borderId="7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5" fillId="0" borderId="17" xfId="0" applyFont="1" applyBorder="1" applyAlignment="1">
      <alignment horizontal="center" vertical="top"/>
    </xf>
    <xf numFmtId="0" fontId="0" fillId="0" borderId="17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5" fillId="0" borderId="46" xfId="0" applyFont="1" applyBorder="1" applyAlignment="1">
      <alignment horizontal="center" vertical="top"/>
    </xf>
    <xf numFmtId="0" fontId="5" fillId="0" borderId="45" xfId="0" applyFont="1" applyBorder="1" applyAlignment="1">
      <alignment horizontal="right" vertical="top" wrapText="1"/>
    </xf>
    <xf numFmtId="0" fontId="5" fillId="0" borderId="45" xfId="0" applyFont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5" fillId="8" borderId="18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3" fillId="0" borderId="40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5" fillId="8" borderId="40" xfId="0" applyFont="1" applyFill="1" applyBorder="1" applyAlignment="1">
      <alignment horizontal="center" vertical="top"/>
    </xf>
    <xf numFmtId="0" fontId="5" fillId="8" borderId="39" xfId="0" applyFont="1" applyFill="1" applyBorder="1" applyAlignment="1">
      <alignment horizontal="center" vertical="top"/>
    </xf>
    <xf numFmtId="0" fontId="5" fillId="8" borderId="19" xfId="0" applyFont="1" applyFill="1" applyBorder="1" applyAlignment="1">
      <alignment horizontal="center" vertical="top"/>
    </xf>
    <xf numFmtId="0" fontId="0" fillId="8" borderId="39" xfId="0" applyFill="1" applyBorder="1" applyAlignment="1">
      <alignment horizontal="center" vertical="top"/>
    </xf>
    <xf numFmtId="0" fontId="5" fillId="0" borderId="18" xfId="0" applyFont="1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45" xfId="0" applyBorder="1" applyAlignment="1">
      <alignment horizontal="center" vertical="top"/>
    </xf>
    <xf numFmtId="0" fontId="0" fillId="0" borderId="46" xfId="0" applyBorder="1" applyAlignment="1">
      <alignment horizontal="center" vertical="top"/>
    </xf>
  </cellXfs>
  <cellStyles count="3">
    <cellStyle name="Currency" xfId="1" builtinId="4"/>
    <cellStyle name="Georgia" xfId="2" xr:uid="{00000000-0005-0000-0000-000001000000}"/>
    <cellStyle name="Normal" xfId="0" builtinId="0"/>
  </cellStyles>
  <dxfs count="12">
    <dxf>
      <numFmt numFmtId="167" formatCode="0.0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Helmholtz Frequency vs. Sound hole Diameter</a:t>
            </a:r>
          </a:p>
        </c:rich>
      </c:tx>
      <c:layout>
        <c:manualLayout>
          <c:xMode val="edge"/>
          <c:yMode val="edge"/>
          <c:x val="0.31437438367508447"/>
          <c:y val="2.0339064446942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93588417786964E-2"/>
          <c:y val="0.12881355932203389"/>
          <c:w val="0.83660806618407446"/>
          <c:h val="0.754237288135593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Helmholtz!$F$21</c:f>
              <c:strCache>
                <c:ptCount val="1"/>
                <c:pt idx="0">
                  <c:v>fH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Helmholtz!$E$22:$E$30</c:f>
              <c:numCache>
                <c:formatCode>General</c:formatCode>
                <c:ptCount val="9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95</c:v>
                </c:pt>
                <c:pt idx="6">
                  <c:v>100</c:v>
                </c:pt>
                <c:pt idx="7">
                  <c:v>105</c:v>
                </c:pt>
                <c:pt idx="8">
                  <c:v>110</c:v>
                </c:pt>
              </c:numCache>
            </c:numRef>
          </c:xVal>
          <c:yVal>
            <c:numRef>
              <c:f>Helmholtz!$F$22:$F$30</c:f>
              <c:numCache>
                <c:formatCode>0.0</c:formatCode>
                <c:ptCount val="9"/>
                <c:pt idx="0">
                  <c:v>110.51012522740969</c:v>
                </c:pt>
                <c:pt idx="1">
                  <c:v>114.38884706706911</c:v>
                </c:pt>
                <c:pt idx="2">
                  <c:v>118.14029324870022</c:v>
                </c:pt>
                <c:pt idx="3">
                  <c:v>121.77622692645902</c:v>
                </c:pt>
                <c:pt idx="4">
                  <c:v>125.30670373128484</c:v>
                </c:pt>
                <c:pt idx="5">
                  <c:v>128.74039985783619</c:v>
                </c:pt>
                <c:pt idx="6">
                  <c:v>132.0848632929266</c:v>
                </c:pt>
                <c:pt idx="7">
                  <c:v>135.34670910911228</c:v>
                </c:pt>
                <c:pt idx="8">
                  <c:v>138.53177333096625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9-4C4C-91AA-8EA78130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051871"/>
        <c:axId val="1"/>
      </c:scatterChart>
      <c:valAx>
        <c:axId val="670051871"/>
        <c:scaling>
          <c:orientation val="minMax"/>
          <c:min val="6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Sound Hole Diamter (mm)</a:t>
                </a:r>
              </a:p>
            </c:rich>
          </c:tx>
          <c:layout>
            <c:manualLayout>
              <c:xMode val="edge"/>
              <c:yMode val="edge"/>
              <c:x val="0.40951391852899766"/>
              <c:y val="0.944067830040708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Helmholtz Frequency (Hz)</a:t>
                </a:r>
              </a:p>
            </c:rich>
          </c:tx>
          <c:layout>
            <c:manualLayout>
              <c:xMode val="edge"/>
              <c:yMode val="edge"/>
              <c:x val="1.0341266453828837E-2"/>
              <c:y val="0.3644067229744505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005187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11">
    <tabColor indexed="8"/>
  </sheetPr>
  <sheetViews>
    <sheetView zoomScale="99" workbookViewId="0"/>
  </sheetViews>
  <pageMargins left="0.75" right="0.75" top="1" bottom="1" header="0.5" footer="0.5"/>
  <headerFooter alignWithMargins="0"/>
  <drawing r:id="rId1"/>
</chartsheet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675375</xdr:colOff>
      <xdr:row>5</xdr:row>
      <xdr:rowOff>176185</xdr:rowOff>
    </xdr:from>
    <xdr:to>
      <xdr:col>14</xdr:col>
      <xdr:colOff>699116</xdr:colOff>
      <xdr:row>10</xdr:row>
      <xdr:rowOff>21259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512699-CDDC-484E-AAEA-3E7EA3F59CD0}"/>
                </a:ext>
              </a:extLst>
            </xdr:cNvPr>
            <xdr:cNvSpPr txBox="1"/>
          </xdr:nvSpPr>
          <xdr:spPr>
            <a:xfrm>
              <a:off x="8596358" y="983699"/>
              <a:ext cx="2049868" cy="7113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4.4-4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=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×</m:t>
                                </m:r>
                                <m:sSup>
                                  <m:sSupPr>
                                    <m:ctrlPr>
                                      <a:rPr lang="en-US" sz="1100" b="0" i="1" baseline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 baseline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p>
                                    <m:r>
                                      <a:rPr lang="en-US" sz="1100" b="0" i="1" baseline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𝐶𝑜𝑒𝑓</m:t>
                                </m:r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US" sz="1100" baseline="-25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7512699-CDDC-484E-AAEA-3E7EA3F59CD0}"/>
                </a:ext>
              </a:extLst>
            </xdr:cNvPr>
            <xdr:cNvSpPr txBox="1"/>
          </xdr:nvSpPr>
          <xdr:spPr>
            <a:xfrm>
              <a:off x="8596358" y="983699"/>
              <a:ext cx="2049868" cy="71131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4.4-4</a:t>
              </a:r>
            </a:p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𝐸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=((𝑓×𝐿^2)/(𝐶𝑜𝑒𝑓×𝑑))^2×𝜌</a:t>
              </a:r>
              <a:endParaRPr lang="en-US" sz="1100" baseline="-25000"/>
            </a:p>
          </xdr:txBody>
        </xdr:sp>
      </mc:Fallback>
    </mc:AlternateContent>
    <xdr:clientData/>
  </xdr:twoCellAnchor>
  <xdr:twoCellAnchor>
    <xdr:from>
      <xdr:col>12</xdr:col>
      <xdr:colOff>1</xdr:colOff>
      <xdr:row>11</xdr:row>
      <xdr:rowOff>0</xdr:rowOff>
    </xdr:from>
    <xdr:to>
      <xdr:col>14</xdr:col>
      <xdr:colOff>1064451</xdr:colOff>
      <xdr:row>15</xdr:row>
      <xdr:rowOff>102774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056A6F4-F906-A449-AACE-877DEB77888D}"/>
                </a:ext>
              </a:extLst>
            </xdr:cNvPr>
            <xdr:cNvSpPr txBox="1"/>
          </xdr:nvSpPr>
          <xdr:spPr>
            <a:xfrm>
              <a:off x="8596359" y="1835260"/>
              <a:ext cx="2415202" cy="778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Coef</a:t>
              </a:r>
            </a:p>
            <a:p>
              <a:pPr algn="ctr"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𝐶𝑜𝑒𝑓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𝛽</m:t>
                                  </m:r>
                                </m:e>
                                <m:sub>
                                  <m:r>
                                    <a:rPr lang="en-US" sz="11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×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𝐿</m:t>
                              </m:r>
                            </m:e>
                          </m:d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48∗</m:t>
                          </m:r>
                          <m:sSup>
                            <m:sSup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𝜋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e>
                      </m:rad>
                    </m:den>
                  </m:f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 1.027922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056A6F4-F906-A449-AACE-877DEB77888D}"/>
                </a:ext>
              </a:extLst>
            </xdr:cNvPr>
            <xdr:cNvSpPr txBox="1"/>
          </xdr:nvSpPr>
          <xdr:spPr>
            <a:xfrm>
              <a:off x="8596359" y="1835260"/>
              <a:ext cx="2415202" cy="7781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Coef</a:t>
              </a: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𝐶𝑜𝑒𝑓=((𝛽_1×𝐿)^2  )/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48∗𝜋^2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 1.027922</a:t>
              </a:r>
            </a:p>
          </xdr:txBody>
        </xdr:sp>
      </mc:Fallback>
    </mc:AlternateContent>
    <xdr:clientData/>
  </xdr:twoCellAnchor>
  <xdr:twoCellAnchor>
    <xdr:from>
      <xdr:col>11</xdr:col>
      <xdr:colOff>652873</xdr:colOff>
      <xdr:row>16</xdr:row>
      <xdr:rowOff>113619</xdr:rowOff>
    </xdr:from>
    <xdr:to>
      <xdr:col>16</xdr:col>
      <xdr:colOff>273920</xdr:colOff>
      <xdr:row>19</xdr:row>
      <xdr:rowOff>136600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1C8F964-5900-A141-B150-C0D6D7FD5ECB}"/>
                </a:ext>
              </a:extLst>
            </xdr:cNvPr>
            <xdr:cNvSpPr txBox="1"/>
          </xdr:nvSpPr>
          <xdr:spPr>
            <a:xfrm>
              <a:off x="8546795" y="2836233"/>
              <a:ext cx="3455949" cy="5210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</m:oMath>
              </a14:m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1st root of cosh(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)</m:t>
                  </m:r>
                  <m:func>
                    <m:func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sz="11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cos</m:t>
                      </m:r>
                    </m:fName>
                    <m:e>
                      <m:d>
                        <m:d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𝛽</m:t>
                              </m:r>
                            </m:e>
                            <m:sub>
                              <m:r>
                                <a:rPr lang="en-US" sz="11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×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𝐿</m:t>
                          </m:r>
                        </m:e>
                      </m:d>
                    </m:e>
                  </m:func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=1</m:t>
                  </m:r>
                </m:oMath>
              </a14:m>
              <a:endParaRPr lang="en-US" sz="11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𝐿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=1.50562×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𝜋</m:t>
                  </m:r>
                </m:oMath>
              </a14:m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=4.7300447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1C8F964-5900-A141-B150-C0D6D7FD5ECB}"/>
                </a:ext>
              </a:extLst>
            </xdr:cNvPr>
            <xdr:cNvSpPr txBox="1"/>
          </xdr:nvSpPr>
          <xdr:spPr>
            <a:xfrm>
              <a:off x="8546795" y="2836233"/>
              <a:ext cx="3455949" cy="5210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4.4-4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𝛽_1 𝐿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1st root of cosh(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𝛽_1×𝐿)cos⁡(𝛽_1×𝐿)=1</a:t>
              </a:r>
              <a:endParaRPr lang="en-US" sz="1100" baseline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𝛽_1×𝐿=1.50562×𝜋</a:t>
              </a:r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=4.7300447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</xdr:colOff>
      <xdr:row>4</xdr:row>
      <xdr:rowOff>9525</xdr:rowOff>
    </xdr:from>
    <xdr:to>
      <xdr:col>12</xdr:col>
      <xdr:colOff>342901</xdr:colOff>
      <xdr:row>8</xdr:row>
      <xdr:rowOff>19050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840916-52F2-452E-B38E-FF665103F53A}"/>
                </a:ext>
              </a:extLst>
            </xdr:cNvPr>
            <xdr:cNvSpPr txBox="1"/>
          </xdr:nvSpPr>
          <xdr:spPr>
            <a:xfrm>
              <a:off x="5125812" y="666750"/>
              <a:ext cx="2456089" cy="704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4.4-6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9.81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𝐿𝑜𝑎𝑑𝐿</m:t>
                        </m:r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𝑆𝑝𝑎𝑛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𝑊𝑖𝑑𝑡h𝐿</m:t>
                        </m:r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𝛿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100" baseline="-25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840916-52F2-452E-B38E-FF665103F53A}"/>
                </a:ext>
              </a:extLst>
            </xdr:cNvPr>
            <xdr:cNvSpPr txBox="1"/>
          </xdr:nvSpPr>
          <xdr:spPr>
            <a:xfrm>
              <a:off x="5125812" y="666750"/>
              <a:ext cx="2456089" cy="704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Eq. 4.4-6</a:t>
              </a:r>
            </a:p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𝐸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</a:rPr>
                <a:t>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=(9.81𝐿𝑜𝑎𝑑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〖𝑆𝑝𝑎𝑛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〗^3)/(4𝑊𝑖𝑑𝑡ℎ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ℎ^3 𝛿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100" baseline="-25000"/>
            </a:p>
          </xdr:txBody>
        </xdr:sp>
      </mc:Fallback>
    </mc:AlternateContent>
    <xdr:clientData/>
  </xdr:twoCellAnchor>
  <xdr:twoCellAnchor>
    <xdr:from>
      <xdr:col>8</xdr:col>
      <xdr:colOff>2722</xdr:colOff>
      <xdr:row>8</xdr:row>
      <xdr:rowOff>152400</xdr:rowOff>
    </xdr:from>
    <xdr:to>
      <xdr:col>12</xdr:col>
      <xdr:colOff>390525</xdr:colOff>
      <xdr:row>13</xdr:row>
      <xdr:rowOff>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C37AE8-E9DC-4337-A5C2-90DBDE030B85}"/>
                </a:ext>
              </a:extLst>
            </xdr:cNvPr>
            <xdr:cNvSpPr txBox="1"/>
          </xdr:nvSpPr>
          <xdr:spPr>
            <a:xfrm>
              <a:off x="5127172" y="1504950"/>
              <a:ext cx="2502353" cy="657226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4.4-6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r>
                      <a:rPr lang="en-US" sz="1100" b="0" i="1" baseline="-2500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=</m:t>
                    </m:r>
                    <m:f>
                      <m:fPr>
                        <m:ctrlP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9.81</m:t>
                        </m:r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𝐿𝑜𝑎𝑑𝐶</m:t>
                        </m:r>
                        <m:sSup>
                          <m:sSupPr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𝑆𝑝𝑎𝑛</m:t>
                            </m:r>
                            <m:r>
                              <a:rPr lang="en-US" sz="1100" b="0" i="1" baseline="-2500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p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num>
                      <m:den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𝑊𝑖𝑑𝑡h𝐶</m:t>
                        </m:r>
                        <m:sSup>
                          <m:sSupPr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𝛿</m:t>
                        </m:r>
                        <m:r>
                          <a:rPr lang="en-US" sz="1100" b="0" i="1" baseline="-2500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BC37AE8-E9DC-4337-A5C2-90DBDE030B85}"/>
                </a:ext>
              </a:extLst>
            </xdr:cNvPr>
            <xdr:cNvSpPr txBox="1"/>
          </xdr:nvSpPr>
          <xdr:spPr>
            <a:xfrm>
              <a:off x="5127172" y="1504950"/>
              <a:ext cx="2502353" cy="657226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4.4-6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 =(9.81𝐿𝑜𝑎𝑑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〖𝑆𝑝𝑎𝑛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〗^3)/(4𝑊𝑖𝑑𝑡ℎ</a:t>
              </a:r>
              <a:r>
                <a:rPr lang="en-US" sz="1100" b="0" i="0" baseline="30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ℎ^3</a:t>
              </a:r>
              <a:r>
                <a:rPr lang="en-US" sz="1100" b="0" i="0" baseline="0"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𝛿</a:t>
              </a:r>
              <a:r>
                <a:rPr lang="en-US" sz="1100" b="0" i="0" baseline="-2500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)</a:t>
              </a:r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13</xdr:col>
      <xdr:colOff>453490</xdr:colOff>
      <xdr:row>8</xdr:row>
      <xdr:rowOff>157844</xdr:rowOff>
    </xdr:from>
    <xdr:to>
      <xdr:col>17</xdr:col>
      <xdr:colOff>134835</xdr:colOff>
      <xdr:row>13</xdr:row>
      <xdr:rowOff>55790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CA583-B7AA-427D-99D0-4F5D0B7552D9}"/>
            </a:ext>
          </a:extLst>
        </xdr:cNvPr>
        <xdr:cNvSpPr txBox="1"/>
      </xdr:nvSpPr>
      <xdr:spPr>
        <a:xfrm>
          <a:off x="8111590" y="1510394"/>
          <a:ext cx="1853045" cy="707571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mbria Math" panose="02040503050406030204" pitchFamily="18" charset="0"/>
              <a:ea typeface="Cambria Math" panose="02040503050406030204" pitchFamily="18" charset="0"/>
              <a:cs typeface="+mn-cs"/>
            </a:rPr>
            <a:t>For G</a:t>
          </a:r>
          <a:r>
            <a:rPr kumimoji="0" lang="en-US" sz="1100" b="0" i="0" u="none" strike="noStrike" kern="0" cap="none" spc="0" normalizeH="0" baseline="-2500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mbria Math" panose="02040503050406030204" pitchFamily="18" charset="0"/>
              <a:ea typeface="Cambria Math" panose="02040503050406030204" pitchFamily="18" charset="0"/>
              <a:cs typeface="+mn-cs"/>
            </a:rPr>
            <a:t>LC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mbria Math" panose="02040503050406030204" pitchFamily="18" charset="0"/>
              <a:ea typeface="Cambria Math" panose="02040503050406030204" pitchFamily="18" charset="0"/>
              <a:cs typeface="+mn-cs"/>
            </a:rPr>
            <a:t> use average value for type of wood.</a:t>
          </a:r>
        </a:p>
      </xdr:txBody>
    </xdr:sp>
    <xdr:clientData/>
  </xdr:twoCellAnchor>
  <xdr:twoCellAnchor>
    <xdr:from>
      <xdr:col>14</xdr:col>
      <xdr:colOff>1</xdr:colOff>
      <xdr:row>4</xdr:row>
      <xdr:rowOff>0</xdr:rowOff>
    </xdr:from>
    <xdr:to>
      <xdr:col>18</xdr:col>
      <xdr:colOff>114300</xdr:colOff>
      <xdr:row>8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7C26A-76F8-49F4-9BF2-EBA62CD064F0}"/>
                </a:ext>
              </a:extLst>
            </xdr:cNvPr>
            <xdr:cNvSpPr txBox="1"/>
          </xdr:nvSpPr>
          <xdr:spPr>
            <a:xfrm>
              <a:off x="8115301" y="657225"/>
              <a:ext cx="2219324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_2=</m:t>
                    </m:r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sSup>
                      <m:sSupPr>
                        <m:ctrlP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  <m:d>
                                  <m:dPr>
                                    <m:ctrlP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𝑉𝑙𝑐𝑉𝑐𝑙</m:t>
                                    </m:r>
                                  </m:e>
                                </m:d>
                              </m:num>
                              <m:den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126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0.5</m:t>
                        </m:r>
                      </m:sup>
                    </m:sSup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7C26A-76F8-49F4-9BF2-EBA62CD064F0}"/>
                </a:ext>
              </a:extLst>
            </xdr:cNvPr>
            <xdr:cNvSpPr txBox="1"/>
          </xdr:nvSpPr>
          <xdr:spPr>
            <a:xfrm>
              <a:off x="8115301" y="657225"/>
              <a:ext cx="2219324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𝐶𝑜𝑒𝑓_2=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𝜋[12(1−𝑉𝑙𝑐𝑉𝑐𝑙)/126]^0.5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19</xdr:col>
      <xdr:colOff>9526</xdr:colOff>
      <xdr:row>4</xdr:row>
      <xdr:rowOff>0</xdr:rowOff>
    </xdr:from>
    <xdr:to>
      <xdr:col>21</xdr:col>
      <xdr:colOff>95251</xdr:colOff>
      <xdr:row>7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514BB5B-E051-41F8-AB12-BA7553EFAA68}"/>
                </a:ext>
              </a:extLst>
            </xdr:cNvPr>
            <xdr:cNvSpPr txBox="1"/>
          </xdr:nvSpPr>
          <xdr:spPr>
            <a:xfrm>
              <a:off x="10544176" y="65722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_3=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7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𝑉𝑐𝑙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514BB5B-E051-41F8-AB12-BA7553EFAA68}"/>
                </a:ext>
              </a:extLst>
            </xdr:cNvPr>
            <xdr:cNvSpPr txBox="1"/>
          </xdr:nvSpPr>
          <xdr:spPr>
            <a:xfrm>
              <a:off x="10544176" y="65722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𝐶𝑜𝑒𝑓_3=4/7 𝑉𝑐𝑙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4</xdr:row>
      <xdr:rowOff>0</xdr:rowOff>
    </xdr:from>
    <xdr:to>
      <xdr:col>24</xdr:col>
      <xdr:colOff>714375</xdr:colOff>
      <xdr:row>7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1E1E95-26A5-47F8-9C73-8E03FAAC40BB}"/>
                </a:ext>
              </a:extLst>
            </xdr:cNvPr>
            <xdr:cNvSpPr txBox="1"/>
          </xdr:nvSpPr>
          <xdr:spPr>
            <a:xfrm>
              <a:off x="12420600" y="65722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_4=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42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12</m:t>
                    </m:r>
                    <m:d>
                      <m:d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1−</m:t>
                        </m:r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𝑉𝑙𝑐𝑉𝑐𝑙</m:t>
                        </m:r>
                      </m:e>
                    </m:d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1E1E95-26A5-47F8-9C73-8E03FAAC40BB}"/>
                </a:ext>
              </a:extLst>
            </xdr:cNvPr>
            <xdr:cNvSpPr txBox="1"/>
          </xdr:nvSpPr>
          <xdr:spPr>
            <a:xfrm>
              <a:off x="12420600" y="65722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𝐶𝑜𝑒𝑓_4=4/42 12(1−𝑉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𝑙𝑐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𝑐𝑙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</a:p>
          </xdr:txBody>
        </xdr:sp>
      </mc:Fallback>
    </mc:AlternateContent>
    <xdr:clientData/>
  </xdr:twoCellAnchor>
  <xdr:twoCellAnchor>
    <xdr:from>
      <xdr:col>18</xdr:col>
      <xdr:colOff>304800</xdr:colOff>
      <xdr:row>9</xdr:row>
      <xdr:rowOff>9525</xdr:rowOff>
    </xdr:from>
    <xdr:to>
      <xdr:col>24</xdr:col>
      <xdr:colOff>266894</xdr:colOff>
      <xdr:row>14</xdr:row>
      <xdr:rowOff>124408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E7E6BCC-009F-4AA4-B43D-0D075DF2D3AB}"/>
                </a:ext>
              </a:extLst>
            </xdr:cNvPr>
            <xdr:cNvSpPr txBox="1"/>
          </xdr:nvSpPr>
          <xdr:spPr>
            <a:xfrm>
              <a:off x="10525125" y="1524000"/>
              <a:ext cx="3486344" cy="92450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</a:rPr>
                          <m:t>𝑣𝑠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𝐺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𝐿𝐶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E7E6BCC-009F-4AA4-B43D-0D075DF2D3AB}"/>
                </a:ext>
              </a:extLst>
            </xdr:cNvPr>
            <xdr:cNvSpPr txBox="1"/>
          </xdr:nvSpPr>
          <xdr:spPr>
            <a:xfrm>
              <a:off x="10525125" y="1524000"/>
              <a:ext cx="3486344" cy="92450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𝑑</a:t>
              </a:r>
              <a:r>
                <a:rPr lang="en-US" sz="1100" b="0" i="0">
                  <a:latin typeface="Cambria Math" panose="02040503050406030204" pitchFamily="18" charset="0"/>
                </a:rPr>
                <a:t>=(𝐶𝑜𝑒𝑓_2 𝑓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𝑣𝑠</a:t>
              </a:r>
              <a:r>
                <a:rPr lang="en-US" sz="1100" b="0" i="0">
                  <a:latin typeface="Cambria Math" panose="02040503050406030204" pitchFamily="18" charset="0"/>
                </a:rPr>
                <a:t>𝑎^2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𝜌^</a:t>
              </a:r>
              <a:r>
                <a:rPr lang="en-US" sz="1100" b="0" i="0">
                  <a:latin typeface="Cambria Math" panose="02040503050406030204" pitchFamily="18" charset="0"/>
                </a:rPr>
                <a:t>0.5)/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+(𝑎/𝑏)^4 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𝑎/𝑏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^2 (𝐶𝑜𝑒𝑓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𝐺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𝐿𝐶)}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0.5 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4084</xdr:colOff>
      <xdr:row>3</xdr:row>
      <xdr:rowOff>9525</xdr:rowOff>
    </xdr:from>
    <xdr:to>
      <xdr:col>11</xdr:col>
      <xdr:colOff>128898</xdr:colOff>
      <xdr:row>7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8A02E8B-CE51-48B7-93A2-B66A1265EF35}"/>
                </a:ext>
              </a:extLst>
            </xdr:cNvPr>
            <xdr:cNvSpPr txBox="1"/>
          </xdr:nvSpPr>
          <xdr:spPr>
            <a:xfrm>
              <a:off x="5740855" y="499382"/>
              <a:ext cx="1812100" cy="770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4.5-2/4.5-3 Coef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𝐶𝑜𝑒𝑓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12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𝑉𝐿𝐶𝑉𝐶𝐿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𝜋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3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8A02E8B-CE51-48B7-93A2-B66A1265EF35}"/>
                </a:ext>
              </a:extLst>
            </xdr:cNvPr>
            <xdr:cNvSpPr txBox="1"/>
          </xdr:nvSpPr>
          <xdr:spPr>
            <a:xfrm>
              <a:off x="5740855" y="499382"/>
              <a:ext cx="1812100" cy="7701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Eq.</a:t>
              </a:r>
              <a:r>
                <a:rPr lang="en-US" sz="110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4.5-2/4.5-3 Coef</a:t>
              </a: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𝐶𝑜𝑒𝑓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=12(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1−𝑉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𝐿𝐶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𝑉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𝐶𝐿)/((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𝜋⁄2)^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(3⁄2)^4 )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8</xdr:col>
      <xdr:colOff>10886</xdr:colOff>
      <xdr:row>8</xdr:row>
      <xdr:rowOff>9525</xdr:rowOff>
    </xdr:from>
    <xdr:to>
      <xdr:col>11</xdr:col>
      <xdr:colOff>134711</xdr:colOff>
      <xdr:row>12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8FBD61-62F9-4F27-B28F-5C32F62C9AB4}"/>
                </a:ext>
              </a:extLst>
            </xdr:cNvPr>
            <xdr:cNvSpPr txBox="1"/>
          </xdr:nvSpPr>
          <xdr:spPr>
            <a:xfrm>
              <a:off x="5747657" y="1375682"/>
              <a:ext cx="1811111" cy="7102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Eq. 4.5-2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𝐶𝑜𝑒𝑓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f>
                      <m:f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aseline="-25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B8FBD61-62F9-4F27-B28F-5C32F62C9AB4}"/>
                </a:ext>
              </a:extLst>
            </xdr:cNvPr>
            <xdr:cNvSpPr txBox="1"/>
          </xdr:nvSpPr>
          <xdr:spPr>
            <a:xfrm>
              <a:off x="5747657" y="1375682"/>
              <a:ext cx="1811111" cy="7102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Eq. 4.5-2</a:t>
              </a:r>
            </a:p>
            <a:p>
              <a:pPr/>
              <a:r>
                <a:rPr lang="en-US" sz="1100" b="0" i="0" baseline="0">
                  <a:latin typeface="Cambria Math" panose="02040503050406030204" pitchFamily="18" charset="0"/>
                </a:rPr>
                <a:t>𝐸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</a:rPr>
                <a:t>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=𝐶𝑜𝑒𝑓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(𝜌〖𝐿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〗^4 〖𝑓</a:t>
              </a:r>
              <a:r>
                <a:rPr lang="en-US" sz="1100" b="0" i="0" baseline="-250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〗^2)/ℎ^2 </a:t>
              </a:r>
              <a:endParaRPr lang="en-US" sz="1100" baseline="-25000"/>
            </a:p>
          </xdr:txBody>
        </xdr:sp>
      </mc:Fallback>
    </mc:AlternateContent>
    <xdr:clientData/>
  </xdr:twoCellAnchor>
  <xdr:twoCellAnchor>
    <xdr:from>
      <xdr:col>7</xdr:col>
      <xdr:colOff>859971</xdr:colOff>
      <xdr:row>13</xdr:row>
      <xdr:rowOff>0</xdr:rowOff>
    </xdr:from>
    <xdr:to>
      <xdr:col>11</xdr:col>
      <xdr:colOff>104775</xdr:colOff>
      <xdr:row>16</xdr:row>
      <xdr:rowOff>81643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682B286-5DD7-45D3-8A5D-E2EE63DAA599}"/>
                </a:ext>
              </a:extLst>
            </xdr:cNvPr>
            <xdr:cNvSpPr txBox="1"/>
          </xdr:nvSpPr>
          <xdr:spPr>
            <a:xfrm>
              <a:off x="5736771" y="2182586"/>
              <a:ext cx="1792061" cy="6096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4.5-3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r>
                      <a:rPr kumimoji="0" lang="en-US" sz="1100" b="0" i="1" u="none" strike="noStrike" kern="0" cap="none" spc="0" normalizeH="0" baseline="-2500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-2500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1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𝜌</m:t>
                        </m:r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𝐿</m:t>
                            </m:r>
                            <m:r>
                              <a:rPr kumimoji="0" lang="en-US" sz="1100" b="0" i="1" u="none" strike="noStrike" kern="0" cap="none" spc="0" normalizeH="0" baseline="-2500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4</m:t>
                            </m:r>
                          </m:sup>
                        </m:sSup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𝑓</m:t>
                            </m:r>
                            <m:r>
                              <a:rPr kumimoji="0" lang="en-US" sz="1100" b="0" i="1" u="none" strike="noStrike" kern="0" cap="none" spc="0" normalizeH="0" baseline="-2500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h</m:t>
                            </m:r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682B286-5DD7-45D3-8A5D-E2EE63DAA599}"/>
                </a:ext>
              </a:extLst>
            </xdr:cNvPr>
            <xdr:cNvSpPr txBox="1"/>
          </xdr:nvSpPr>
          <xdr:spPr>
            <a:xfrm>
              <a:off x="5736771" y="2182586"/>
              <a:ext cx="1792061" cy="6096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Eq. 4.5-3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=𝐶𝑜𝑒𝑓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1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(𝜌〖𝐿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〗^4 〖𝑓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〗^2)/ℎ^2 </a:t>
              </a:r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11</xdr:col>
      <xdr:colOff>177265</xdr:colOff>
      <xdr:row>8</xdr:row>
      <xdr:rowOff>5444</xdr:rowOff>
    </xdr:from>
    <xdr:to>
      <xdr:col>14</xdr:col>
      <xdr:colOff>887310</xdr:colOff>
      <xdr:row>12</xdr:row>
      <xdr:rowOff>65315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BC802-822D-4351-8459-7AE345959AC9}"/>
                </a:ext>
              </a:extLst>
            </xdr:cNvPr>
            <xdr:cNvSpPr txBox="1"/>
          </xdr:nvSpPr>
          <xdr:spPr>
            <a:xfrm>
              <a:off x="7601322" y="1371601"/>
              <a:ext cx="1923802" cy="713014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0" lang="en-US" sz="1100" b="0" i="0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G</m:t>
                    </m:r>
                    <m:r>
                      <m:rPr>
                        <m:sty m:val="p"/>
                      </m:rPr>
                      <a:rPr kumimoji="0" lang="en-US" sz="1100" b="0" i="0" u="none" strike="noStrike" kern="0" cap="none" spc="0" normalizeH="0" baseline="-2500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LC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3</m:t>
                        </m:r>
                      </m:num>
                      <m:den>
                        <m:sSup>
                          <m:sSup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skw"/>
                                    <m:ctrlPr>
                                      <a:rPr kumimoji="0" lang="en-US" sz="1100" b="0" i="1" u="none" strike="noStrike" kern="0" cap="none" spc="0" normalizeH="0" baseline="0" noProof="0" smtClean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kumimoji="0" lang="en-US" sz="1100" b="0" i="1" u="none" strike="noStrike" kern="0" cap="none" spc="0" normalizeH="0" baseline="0" noProof="0" smtClean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𝜋</m:t>
                                    </m:r>
                                  </m:num>
                                  <m:den>
                                    <m:r>
                                      <a:rPr kumimoji="0" lang="en-US" sz="1100" b="0" i="1" u="none" strike="noStrike" kern="0" cap="none" spc="0" normalizeH="0" baseline="0" noProof="0" smtClean="0">
                                        <a:ln>
                                          <a:noFill/>
                                        </a:ln>
                                        <a:solidFill>
                                          <a:sysClr val="windowText" lastClr="000000"/>
                                        </a:solidFill>
                                        <a:effectLst/>
                                        <a:uLnTx/>
                                        <a:uFillTx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begChr m:val="["/>
                        <m:endChr m:val="]"/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kumimoji="0" lang="en-US" sz="1100" b="0" i="1" u="none" strike="noStrike" kern="0" cap="none" spc="0" normalizeH="0" baseline="0" noProof="0" smtClean="0">
                                <a:ln>
                                  <a:noFill/>
                                </a:ln>
                                <a:solidFill>
                                  <a:sysClr val="windowText" lastClr="000000"/>
                                </a:solidFill>
                                <a:effectLst/>
                                <a:uLnTx/>
                                <a:uFillTx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𝜌</m:t>
                            </m:r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</m:t>
                                </m:r>
                                <m:r>
                                  <a:rPr kumimoji="0" lang="en-US" sz="1100" b="0" i="1" u="none" strike="noStrike" kern="0" cap="none" spc="0" normalizeH="0" baseline="-2500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</m:t>
                                </m:r>
                                <m:r>
                                  <a:rPr kumimoji="0" lang="en-US" sz="1100" b="0" i="1" u="none" strike="noStrike" kern="0" cap="none" spc="0" normalizeH="0" baseline="-2500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𝐶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𝑓</m:t>
                                </m:r>
                                <m:r>
                                  <a:rPr kumimoji="0" lang="en-US" sz="1100" b="0" i="1" u="none" strike="noStrike" kern="0" cap="none" spc="0" normalizeH="0" baseline="-2500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𝐿𝐶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p>
                              <m:sSupPr>
                                <m:ctrlP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h</m:t>
                                </m:r>
                              </m:e>
                              <m:sup>
                                <m:r>
                                  <a:rPr kumimoji="0" lang="en-US" sz="1100" b="0" i="1" u="none" strike="noStrike" kern="0" cap="none" spc="0" normalizeH="0" baseline="0" noProof="0" smtClean="0">
                                    <a:ln>
                                      <a:noFill/>
                                    </a:ln>
                                    <a:solidFill>
                                      <a:sysClr val="windowText" lastClr="000000"/>
                                    </a:solidFill>
                                    <a:effectLst/>
                                    <a:uLnTx/>
                                    <a:uFillTx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9BBC802-822D-4351-8459-7AE345959AC9}"/>
                </a:ext>
              </a:extLst>
            </xdr:cNvPr>
            <xdr:cNvSpPr txBox="1"/>
          </xdr:nvSpPr>
          <xdr:spPr>
            <a:xfrm>
              <a:off x="7601322" y="1371601"/>
              <a:ext cx="1923802" cy="713014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G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LC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=3/(𝜋⁄2)^2  [(𝜌〖𝐿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𝐿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 〖𝐿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 〖𝑓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𝐿𝐶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〗^2)/ℎ^2 ]</a:t>
              </a:r>
              <a:endParaRPr kumimoji="0" lang="en-US" sz="1100" b="0" i="0" u="none" strike="noStrike" kern="0" cap="none" spc="0" normalizeH="0" baseline="-2500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11</xdr:col>
      <xdr:colOff>190501</xdr:colOff>
      <xdr:row>3</xdr:row>
      <xdr:rowOff>0</xdr:rowOff>
    </xdr:from>
    <xdr:to>
      <xdr:col>14</xdr:col>
      <xdr:colOff>1304926</xdr:colOff>
      <xdr:row>7</xdr:row>
      <xdr:rowOff>57150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77FC270-B7F3-42AE-B4B4-79971748581E}"/>
                </a:ext>
              </a:extLst>
            </xdr:cNvPr>
            <xdr:cNvSpPr txBox="1"/>
          </xdr:nvSpPr>
          <xdr:spPr>
            <a:xfrm>
              <a:off x="7600951" y="485775"/>
              <a:ext cx="2324100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_2=</m:t>
                    </m:r>
                    <m:r>
                      <a:rPr lang="en-US" sz="1100" b="0" i="1" baseline="0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𝜋</m:t>
                    </m:r>
                    <m:sSup>
                      <m:sSupPr>
                        <m:ctrlP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sz="1100" b="0" i="1" baseline="0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</m:t>
                                </m:r>
                                <m:d>
                                  <m:dPr>
                                    <m:ctrlP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1−</m:t>
                                    </m:r>
                                    <m:r>
                                      <a:rPr lang="en-US" sz="1100" b="0" i="1" baseline="0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𝑉𝑙𝑐𝑉𝑐𝑙</m:t>
                                    </m:r>
                                  </m:e>
                                </m:d>
                              </m:num>
                              <m:den>
                                <m:r>
                                  <a:rPr lang="en-US" sz="1100" b="0" i="1" baseline="0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126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100" b="0" i="1" baseline="0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0.5</m:t>
                        </m:r>
                      </m:sup>
                    </m:sSup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77FC270-B7F3-42AE-B4B4-79971748581E}"/>
                </a:ext>
              </a:extLst>
            </xdr:cNvPr>
            <xdr:cNvSpPr txBox="1"/>
          </xdr:nvSpPr>
          <xdr:spPr>
            <a:xfrm>
              <a:off x="7600951" y="485775"/>
              <a:ext cx="2324100" cy="762000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Coef_2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𝐶𝑜𝑒𝑓_2=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𝜋[12(1−𝑉𝑙𝑐𝑉𝑐𝑙)/126]^0.5</a:t>
              </a:r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15</xdr:col>
      <xdr:colOff>1</xdr:colOff>
      <xdr:row>3</xdr:row>
      <xdr:rowOff>0</xdr:rowOff>
    </xdr:from>
    <xdr:to>
      <xdr:col>17</xdr:col>
      <xdr:colOff>504826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81ABBD3-E5A2-472B-933C-EEB7C1191793}"/>
                </a:ext>
              </a:extLst>
            </xdr:cNvPr>
            <xdr:cNvSpPr txBox="1"/>
          </xdr:nvSpPr>
          <xdr:spPr>
            <a:xfrm>
              <a:off x="10144126" y="48577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_3=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7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𝑉𝑐𝑙</m:t>
                    </m:r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81ABBD3-E5A2-472B-933C-EEB7C1191793}"/>
                </a:ext>
              </a:extLst>
            </xdr:cNvPr>
            <xdr:cNvSpPr txBox="1"/>
          </xdr:nvSpPr>
          <xdr:spPr>
            <a:xfrm>
              <a:off x="10144126" y="485775"/>
              <a:ext cx="14287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Coef_3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𝐶𝑜𝑒𝑓_3=4/7 𝑉𝑐𝑙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3</xdr:row>
      <xdr:rowOff>0</xdr:rowOff>
    </xdr:from>
    <xdr:to>
      <xdr:col>20</xdr:col>
      <xdr:colOff>638175</xdr:colOff>
      <xdr:row>6</xdr:row>
      <xdr:rowOff>38100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7EC1313-A13F-415D-A04E-F8E4F0282185}"/>
                </a:ext>
              </a:extLst>
            </xdr:cNvPr>
            <xdr:cNvSpPr txBox="1"/>
          </xdr:nvSpPr>
          <xdr:spPr>
            <a:xfrm>
              <a:off x="11753850" y="48577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𝐶𝑜𝑒𝑓</m:t>
                    </m:r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_4=</m:t>
                    </m:r>
                    <m:f>
                      <m:f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42</m:t>
                        </m:r>
                      </m:den>
                    </m:f>
                    <m:r>
                      <a:rPr kumimoji="0" lang="en-US" sz="1100" b="0" i="1" u="none" strike="noStrike" kern="0" cap="none" spc="0" normalizeH="0" baseline="0" noProof="0" smtClean="0">
                        <a:ln>
                          <a:noFill/>
                        </a:ln>
                        <a:solidFill>
                          <a:sysClr val="windowText" lastClr="000000"/>
                        </a:solidFill>
                        <a:effectLst/>
                        <a:uLnTx/>
                        <a:uFillTx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12</m:t>
                    </m:r>
                    <m:d>
                      <m:dPr>
                        <m:ctrlP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1−</m:t>
                        </m:r>
                        <m:r>
                          <a:rPr kumimoji="0" lang="en-US" sz="1100" b="0" i="1" u="none" strike="noStrike" kern="0" cap="none" spc="0" normalizeH="0" baseline="0" noProof="0" smtClean="0">
                            <a:ln>
                              <a:noFill/>
                            </a:ln>
                            <a:solidFill>
                              <a:sysClr val="windowText" lastClr="000000"/>
                            </a:solidFill>
                            <a:effectLst/>
                            <a:uLnTx/>
                            <a:uFillTx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𝑉𝑙𝑐𝑉𝑐𝑙</m:t>
                        </m:r>
                      </m:e>
                    </m:d>
                  </m:oMath>
                </m:oMathPara>
              </a14:m>
              <a:endPara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7EC1313-A13F-415D-A04E-F8E4F0282185}"/>
                </a:ext>
              </a:extLst>
            </xdr:cNvPr>
            <xdr:cNvSpPr txBox="1"/>
          </xdr:nvSpPr>
          <xdr:spPr>
            <a:xfrm>
              <a:off x="11753850" y="485775"/>
              <a:ext cx="2038350" cy="581025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" lastClr="FFFFFF">
                  <a:shade val="50000"/>
                </a:sysClr>
              </a:solidFill>
            </a:ln>
            <a:effectLst/>
          </xdr:spPr>
          <xdr:txBody>
            <a:bodyPr vertOverflow="clip" horzOverflow="clip" wrap="square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Eq. 4.5-7 Coef_4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𝐶𝑜𝑒𝑓_4=4/42 12(1−𝑉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𝑙𝑐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𝑉</a:t>
              </a:r>
              <a:r>
                <a:rPr kumimoji="0" lang="en-US" sz="1100" b="0" i="0" u="none" strike="noStrike" kern="0" cap="none" spc="0" normalizeH="0" baseline="-2500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𝑐𝑙</a:t>
              </a:r>
              <a:r>
                <a:rPr kumimoji="0" lang="en-US" sz="1100" b="0" i="0" u="none" strike="noStrike" kern="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</a:p>
          </xdr:txBody>
        </xdr:sp>
      </mc:Fallback>
    </mc:AlternateContent>
    <xdr:clientData/>
  </xdr:twoCellAnchor>
  <xdr:twoCellAnchor>
    <xdr:from>
      <xdr:col>15</xdr:col>
      <xdr:colOff>9525</xdr:colOff>
      <xdr:row>8</xdr:row>
      <xdr:rowOff>1656</xdr:rowOff>
    </xdr:from>
    <xdr:to>
      <xdr:col>20</xdr:col>
      <xdr:colOff>485969</xdr:colOff>
      <xdr:row>13</xdr:row>
      <xdr:rowOff>120266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ED82E5F-8F59-4DAF-B3E4-404E85FCD8A7}"/>
                </a:ext>
              </a:extLst>
            </xdr:cNvPr>
            <xdr:cNvSpPr txBox="1"/>
          </xdr:nvSpPr>
          <xdr:spPr>
            <a:xfrm>
              <a:off x="10164003" y="1376569"/>
              <a:ext cx="3491314" cy="9468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US" sz="1100" b="0" i="1" baseline="-25000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𝐶𝑜𝑒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 baseline="-25000">
                            <a:latin typeface="Cambria Math" panose="02040503050406030204" pitchFamily="18" charset="0"/>
                          </a:rPr>
                          <m:t>𝑣𝑠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𝐸</m:t>
                                </m:r>
                                <m:r>
                                  <a:rPr lang="en-US" sz="1100" b="0" i="1" baseline="-2500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f>
                                          <m:fPr>
                                            <m:ctrlP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fPr>
                                          <m:num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</m:t>
                                            </m:r>
                                          </m:num>
                                          <m:den>
                                            <m:r>
                                              <a:rPr lang="en-US" sz="1100" b="0" i="1">
                                                <a:solidFill>
                                                  <a:schemeClr val="dk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𝑏</m:t>
                                            </m:r>
                                          </m:den>
                                        </m:f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d>
                                  <m:d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𝐸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𝐶𝑜𝑒𝑓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4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𝐺</m:t>
                                    </m:r>
                                    <m:r>
                                      <a:rPr lang="en-US" sz="1100" b="0" i="1" baseline="-25000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𝐿𝐶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0.5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ED82E5F-8F59-4DAF-B3E4-404E85FCD8A7}"/>
                </a:ext>
              </a:extLst>
            </xdr:cNvPr>
            <xdr:cNvSpPr txBox="1"/>
          </xdr:nvSpPr>
          <xdr:spPr>
            <a:xfrm>
              <a:off x="10164003" y="1376569"/>
              <a:ext cx="3491314" cy="9468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Eq. 4.5-7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𝑑</a:t>
              </a:r>
              <a:r>
                <a:rPr lang="en-US" sz="1100" b="0" i="0">
                  <a:latin typeface="Cambria Math" panose="02040503050406030204" pitchFamily="18" charset="0"/>
                </a:rPr>
                <a:t>=(𝐶𝑜𝑒𝑓_2 𝑓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𝑣𝑠</a:t>
              </a:r>
              <a:r>
                <a:rPr lang="en-US" sz="1100" b="0" i="0">
                  <a:latin typeface="Cambria Math" panose="02040503050406030204" pitchFamily="18" charset="0"/>
                </a:rPr>
                <a:t>𝑎^2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𝜌^</a:t>
              </a:r>
              <a:r>
                <a:rPr lang="en-US" sz="1100" b="0" i="0">
                  <a:latin typeface="Cambria Math" panose="02040503050406030204" pitchFamily="18" charset="0"/>
                </a:rPr>
                <a:t>0.5)/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+(𝑎/𝑏)^4 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𝐶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𝑎/𝑏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^2 (𝐶𝑜𝑒𝑓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𝐸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+𝐶𝑜𝑒𝑓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𝐺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𝐿𝐶)}</a:t>
              </a:r>
              <a:r>
                <a:rPr lang="en-US" sz="1100" b="0" i="0" baseline="-250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0.5 </a:t>
              </a:r>
              <a:endParaRPr lang="en-US"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9BF7D-6813-4145-920D-F00DA6B6C5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8</xdr:row>
      <xdr:rowOff>142875</xdr:rowOff>
    </xdr:from>
    <xdr:to>
      <xdr:col>23</xdr:col>
      <xdr:colOff>494375</xdr:colOff>
      <xdr:row>22</xdr:row>
      <xdr:rowOff>133020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7B913-7F22-4071-B92D-F5860A87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8350" y="1438275"/>
          <a:ext cx="7400000" cy="2638095"/>
        </a:xfrm>
        <a:prstGeom prst="rect">
          <a:avLst/>
        </a:prstGeom>
      </xdr:spPr>
    </xdr:pic>
    <xdr:clientData/>
  </xdr:twoCellAnchor>
  <xdr:twoCellAnchor>
    <xdr:from>
      <xdr:col>15</xdr:col>
      <xdr:colOff>171450</xdr:colOff>
      <xdr:row>29</xdr:row>
      <xdr:rowOff>9526</xdr:rowOff>
    </xdr:from>
    <xdr:to>
      <xdr:col>18</xdr:col>
      <xdr:colOff>361950</xdr:colOff>
      <xdr:row>37</xdr:row>
      <xdr:rowOff>142876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5C2D56-A660-41F1-9983-8B521C86FFB8}"/>
                </a:ext>
              </a:extLst>
            </xdr:cNvPr>
            <xdr:cNvSpPr txBox="1"/>
          </xdr:nvSpPr>
          <xdr:spPr>
            <a:xfrm>
              <a:off x="12153900" y="5286376"/>
              <a:ext cx="2019300" cy="17716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e>
                    </m:nary>
                  </m:oMath>
                </m:oMathPara>
              </a14:m>
              <a:endParaRPr lang="en-US" sz="11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d>
                          <m:dPr>
                            <m:ctrlP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×</m:t>
                            </m:r>
                            <m:sSup>
                              <m:sSupPr>
                                <m:ctrlPr>
                                  <a:rPr lang="en-US" sz="11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1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1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  <m:t>𝑠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45C2D56-A660-41F1-9983-8B521C86FFB8}"/>
                </a:ext>
              </a:extLst>
            </xdr:cNvPr>
            <xdr:cNvSpPr txBox="1"/>
          </xdr:nvSpPr>
          <xdr:spPr>
            <a:xfrm>
              <a:off x="12153900" y="5286376"/>
              <a:ext cx="2019300" cy="17716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 i="0">
                  <a:latin typeface="Cambria Math" panose="02040503050406030204" pitchFamily="18" charset="0"/>
                </a:rPr>
                <a:t>𝐶_𝑆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×∑▒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𝐴_𝑖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=∑▒(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𝐴_𝑖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𝐶_𝑖 ) </a:t>
              </a:r>
              <a:endParaRPr lang="en-US" sz="1100"/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𝐼_𝑆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∑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▒(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𝐴_𝑖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×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𝐶_𝑖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−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𝐶_𝑠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)^2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 </a:t>
              </a:r>
              <a:endParaRPr lang="en-US" sz="1100"/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B2129-DF31-44E8-8E35-33B39C225DCE}" name="Vib_Stiff24" displayName="Vib_Stiff24" ref="AC6:AD10" totalsRowShown="0" headerRowDxfId="5" headerRowBorderDxfId="4" tableBorderDxfId="3" totalsRowBorderDxfId="2">
  <autoFilter ref="AC6:AD10" xr:uid="{42B488F6-5D03-4246-8503-BE308C80AAA5}"/>
  <tableColumns count="2">
    <tableColumn id="1" xr3:uid="{A7988C3C-FFDF-4367-8118-CFE4FAB58656}" name="PanelType" dataDxfId="1"/>
    <tableColumn id="2" xr3:uid="{AC9FD991-01A9-4D4B-8EA2-F97B127BFFA2}" name="Value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EEA05-A23C-446D-8F23-10CBD8852EB9}" name="Vib_Stiff2" displayName="Vib_Stiff2" ref="X6:Y10" totalsRowShown="0" headerRowDxfId="11" headerRowBorderDxfId="10" tableBorderDxfId="9" totalsRowBorderDxfId="8">
  <autoFilter ref="X6:Y10" xr:uid="{42B488F6-5D03-4246-8503-BE308C80AAA5}"/>
  <tableColumns count="2">
    <tableColumn id="1" xr3:uid="{8C12DDF7-C9B2-458A-A55F-9601B9FB8147}" name="PanelType" dataDxfId="7"/>
    <tableColumn id="2" xr3:uid="{7B5557FB-886A-49CD-8245-B4A260F460A3}" name="Value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1"/>
  </sheetPr>
  <dimension ref="A1:M21"/>
  <sheetViews>
    <sheetView workbookViewId="0">
      <selection activeCell="I43" sqref="I43"/>
    </sheetView>
  </sheetViews>
  <sheetFormatPr baseColWidth="10" defaultColWidth="8.83203125" defaultRowHeight="13" x14ac:dyDescent="0.15"/>
  <cols>
    <col min="1" max="1" width="3.5" customWidth="1"/>
    <col min="2" max="2" width="22.33203125" customWidth="1"/>
    <col min="3" max="3" width="6.6640625" customWidth="1"/>
    <col min="4" max="4" width="5.6640625" customWidth="1"/>
    <col min="7" max="7" width="10.5" bestFit="1" customWidth="1"/>
    <col min="11" max="11" width="10.83203125" customWidth="1"/>
    <col min="13" max="13" width="23.83203125" bestFit="1" customWidth="1"/>
  </cols>
  <sheetData>
    <row r="1" spans="1:13" x14ac:dyDescent="0.15">
      <c r="A1" s="11" t="s">
        <v>77</v>
      </c>
    </row>
    <row r="3" spans="1:13" x14ac:dyDescent="0.15">
      <c r="B3" s="11" t="s">
        <v>95</v>
      </c>
      <c r="H3">
        <f>1.235*9.81</f>
        <v>12.115350000000001</v>
      </c>
    </row>
    <row r="4" spans="1:13" x14ac:dyDescent="0.15">
      <c r="H4">
        <f>0.446*9.81</f>
        <v>4.3752599999999999</v>
      </c>
      <c r="K4" s="16" t="s">
        <v>93</v>
      </c>
    </row>
    <row r="5" spans="1:13" x14ac:dyDescent="0.15">
      <c r="B5" s="11" t="s">
        <v>2</v>
      </c>
      <c r="C5" s="12"/>
      <c r="K5" s="16" t="s">
        <v>92</v>
      </c>
    </row>
    <row r="6" spans="1:13" x14ac:dyDescent="0.15">
      <c r="I6" s="16" t="s">
        <v>10</v>
      </c>
      <c r="J6" s="16" t="s">
        <v>79</v>
      </c>
    </row>
    <row r="7" spans="1:13" ht="15" x14ac:dyDescent="0.2">
      <c r="B7" s="44" t="s">
        <v>80</v>
      </c>
      <c r="C7" s="43" t="s">
        <v>81</v>
      </c>
      <c r="D7" s="43" t="s">
        <v>82</v>
      </c>
      <c r="E7" s="43" t="s">
        <v>90</v>
      </c>
      <c r="F7" s="43" t="s">
        <v>91</v>
      </c>
      <c r="G7" s="43" t="s">
        <v>198</v>
      </c>
      <c r="H7" s="43" t="s">
        <v>83</v>
      </c>
      <c r="I7" s="43" t="s">
        <v>78</v>
      </c>
      <c r="J7" s="43" t="s">
        <v>84</v>
      </c>
      <c r="K7" s="43" t="s">
        <v>85</v>
      </c>
      <c r="L7" s="43" t="s">
        <v>86</v>
      </c>
      <c r="M7" s="44" t="s">
        <v>87</v>
      </c>
    </row>
    <row r="8" spans="1:13" x14ac:dyDescent="0.15">
      <c r="A8" s="86"/>
      <c r="B8" s="93" t="s">
        <v>88</v>
      </c>
      <c r="C8" s="93"/>
      <c r="D8" s="93" t="s">
        <v>89</v>
      </c>
      <c r="E8" s="91">
        <v>90.5</v>
      </c>
      <c r="F8" s="91">
        <v>170.9</v>
      </c>
      <c r="G8" s="91"/>
      <c r="H8" s="93">
        <f>$H$4</f>
        <v>4.3752599999999999</v>
      </c>
      <c r="I8" s="95">
        <v>7.8</v>
      </c>
      <c r="J8" s="87">
        <f t="shared" ref="J8:J17" si="0">H8/I8*100000</f>
        <v>56093.076923076922</v>
      </c>
      <c r="K8" s="93">
        <v>162</v>
      </c>
      <c r="L8" s="89">
        <f t="shared" ref="L8:L17" si="1">J8/(2*PI()*K8)^2</f>
        <v>5.4140155349669039E-2</v>
      </c>
      <c r="M8" s="107">
        <f t="shared" ref="M8:M17" si="2">1/(SQRT(J8*L8))*1000</f>
        <v>18.146196921216394</v>
      </c>
    </row>
    <row r="9" spans="1:13" x14ac:dyDescent="0.15">
      <c r="A9" s="86"/>
      <c r="B9" s="94" t="s">
        <v>88</v>
      </c>
      <c r="C9" s="94"/>
      <c r="D9" s="94" t="s">
        <v>89</v>
      </c>
      <c r="E9" s="92">
        <v>90.5</v>
      </c>
      <c r="F9" s="92">
        <v>170.9</v>
      </c>
      <c r="G9" s="92"/>
      <c r="H9" s="94">
        <v>12.115350000000001</v>
      </c>
      <c r="I9" s="96">
        <v>21.6</v>
      </c>
      <c r="J9" s="88">
        <f t="shared" si="0"/>
        <v>56089.583333333336</v>
      </c>
      <c r="K9" s="94">
        <v>162</v>
      </c>
      <c r="L9" s="90">
        <f t="shared" si="1"/>
        <v>5.4136783391812181E-2</v>
      </c>
      <c r="M9" s="108">
        <f t="shared" si="2"/>
        <v>18.147327173282495</v>
      </c>
    </row>
    <row r="10" spans="1:13" x14ac:dyDescent="0.15">
      <c r="B10" s="94" t="s">
        <v>107</v>
      </c>
      <c r="C10" s="94"/>
      <c r="D10" s="94" t="s">
        <v>89</v>
      </c>
      <c r="E10" s="92">
        <v>96.8</v>
      </c>
      <c r="F10" s="92">
        <v>179.8</v>
      </c>
      <c r="G10" s="92"/>
      <c r="H10" s="94">
        <f>$H$4</f>
        <v>4.3752599999999999</v>
      </c>
      <c r="I10" s="96">
        <v>6</v>
      </c>
      <c r="J10" s="88">
        <f t="shared" si="0"/>
        <v>72921</v>
      </c>
      <c r="K10" s="94">
        <v>164.9</v>
      </c>
      <c r="L10" s="90">
        <f t="shared" si="1"/>
        <v>6.7928428538226032E-2</v>
      </c>
      <c r="M10" s="108">
        <f t="shared" si="2"/>
        <v>14.208489422168018</v>
      </c>
    </row>
    <row r="11" spans="1:13" x14ac:dyDescent="0.15">
      <c r="B11" s="94" t="s">
        <v>107</v>
      </c>
      <c r="C11" s="94"/>
      <c r="D11" s="94" t="s">
        <v>89</v>
      </c>
      <c r="E11" s="92">
        <v>96.8</v>
      </c>
      <c r="F11" s="92">
        <v>179.8</v>
      </c>
      <c r="G11" s="92"/>
      <c r="H11" s="94">
        <v>12.115350000000001</v>
      </c>
      <c r="I11" s="96">
        <v>18</v>
      </c>
      <c r="J11" s="88">
        <f t="shared" si="0"/>
        <v>67307.500000000015</v>
      </c>
      <c r="K11" s="94">
        <v>164.9</v>
      </c>
      <c r="L11" s="90">
        <f t="shared" si="1"/>
        <v>6.2699259525193701E-2</v>
      </c>
      <c r="M11" s="108">
        <f t="shared" si="2"/>
        <v>15.39348894482656</v>
      </c>
    </row>
    <row r="12" spans="1:13" x14ac:dyDescent="0.15">
      <c r="B12" s="94" t="s">
        <v>108</v>
      </c>
      <c r="C12" s="94"/>
      <c r="D12" s="94" t="s">
        <v>89</v>
      </c>
      <c r="E12" s="92">
        <v>90</v>
      </c>
      <c r="F12" s="92">
        <v>178.3</v>
      </c>
      <c r="G12" s="92"/>
      <c r="H12" s="94">
        <f>$H$4</f>
        <v>4.3752599999999999</v>
      </c>
      <c r="I12" s="96">
        <v>6</v>
      </c>
      <c r="J12" s="88">
        <f t="shared" si="0"/>
        <v>72921</v>
      </c>
      <c r="K12" s="94">
        <v>162.75</v>
      </c>
      <c r="L12" s="90">
        <f t="shared" si="1"/>
        <v>6.9735012728926196E-2</v>
      </c>
      <c r="M12" s="108">
        <f t="shared" si="2"/>
        <v>14.023236224729194</v>
      </c>
    </row>
    <row r="13" spans="1:13" x14ac:dyDescent="0.15">
      <c r="B13" s="94" t="s">
        <v>108</v>
      </c>
      <c r="C13" s="94"/>
      <c r="D13" s="94" t="s">
        <v>89</v>
      </c>
      <c r="E13" s="92">
        <v>90</v>
      </c>
      <c r="F13" s="92">
        <v>178.3</v>
      </c>
      <c r="G13" s="92"/>
      <c r="H13" s="94">
        <v>12.115350000000001</v>
      </c>
      <c r="I13" s="96">
        <v>16.2</v>
      </c>
      <c r="J13" s="88">
        <f t="shared" si="0"/>
        <v>74786.111111111124</v>
      </c>
      <c r="K13" s="94">
        <v>162.75</v>
      </c>
      <c r="L13" s="90">
        <f t="shared" si="1"/>
        <v>7.1518635376369266E-2</v>
      </c>
      <c r="M13" s="108">
        <f t="shared" si="2"/>
        <v>13.67350693264688</v>
      </c>
    </row>
    <row r="14" spans="1:13" x14ac:dyDescent="0.15">
      <c r="B14" s="94" t="s">
        <v>109</v>
      </c>
      <c r="C14" s="94"/>
      <c r="D14" s="94" t="s">
        <v>89</v>
      </c>
      <c r="E14" s="92"/>
      <c r="F14" s="92"/>
      <c r="G14" s="92"/>
      <c r="H14" s="94">
        <f>$H$4</f>
        <v>4.3752599999999999</v>
      </c>
      <c r="I14" s="96">
        <v>5</v>
      </c>
      <c r="J14" s="88">
        <f t="shared" si="0"/>
        <v>87505.2</v>
      </c>
      <c r="K14" s="94">
        <v>182</v>
      </c>
      <c r="L14" s="90">
        <f t="shared" si="1"/>
        <v>6.6916212103455927E-2</v>
      </c>
      <c r="M14" s="108">
        <f t="shared" si="2"/>
        <v>13.068248811575593</v>
      </c>
    </row>
    <row r="15" spans="1:13" x14ac:dyDescent="0.15">
      <c r="B15" s="94" t="s">
        <v>109</v>
      </c>
      <c r="C15" s="94"/>
      <c r="D15" s="94" t="s">
        <v>89</v>
      </c>
      <c r="E15" s="92"/>
      <c r="F15" s="92"/>
      <c r="G15" s="92"/>
      <c r="H15" s="94">
        <v>12.115350000000001</v>
      </c>
      <c r="I15" s="96">
        <v>13</v>
      </c>
      <c r="J15" s="88">
        <f t="shared" si="0"/>
        <v>93195</v>
      </c>
      <c r="K15" s="94">
        <v>182</v>
      </c>
      <c r="L15" s="90">
        <f t="shared" si="1"/>
        <v>7.1267266253680642E-2</v>
      </c>
      <c r="M15" s="108">
        <f t="shared" si="2"/>
        <v>12.270397831500452</v>
      </c>
    </row>
    <row r="16" spans="1:13" x14ac:dyDescent="0.15">
      <c r="B16" s="94" t="s">
        <v>110</v>
      </c>
      <c r="C16" s="94"/>
      <c r="D16" s="94" t="s">
        <v>89</v>
      </c>
      <c r="E16" s="92">
        <v>93</v>
      </c>
      <c r="F16" s="92">
        <v>163</v>
      </c>
      <c r="G16" s="92"/>
      <c r="H16" s="94">
        <f>0.446*9.81</f>
        <v>4.3752599999999999</v>
      </c>
      <c r="I16" s="96">
        <v>7</v>
      </c>
      <c r="J16" s="88">
        <f t="shared" si="0"/>
        <v>62503.714285714283</v>
      </c>
      <c r="K16" s="94">
        <v>149.5</v>
      </c>
      <c r="L16" s="90">
        <f t="shared" si="1"/>
        <v>7.0837578030123471E-2</v>
      </c>
      <c r="M16" s="108">
        <f t="shared" si="2"/>
        <v>15.028486133311935</v>
      </c>
    </row>
    <row r="17" spans="2:13" x14ac:dyDescent="0.15">
      <c r="B17" s="94" t="s">
        <v>110</v>
      </c>
      <c r="C17" s="94"/>
      <c r="D17" s="94" t="s">
        <v>89</v>
      </c>
      <c r="E17" s="92">
        <v>93</v>
      </c>
      <c r="F17" s="92">
        <v>163</v>
      </c>
      <c r="G17" s="92"/>
      <c r="H17" s="94">
        <v>12.115350000000001</v>
      </c>
      <c r="I17" s="96">
        <v>20</v>
      </c>
      <c r="J17" s="88">
        <f t="shared" si="0"/>
        <v>60576.75</v>
      </c>
      <c r="K17" s="94">
        <v>149.5</v>
      </c>
      <c r="L17" s="90">
        <f t="shared" si="1"/>
        <v>6.8653684088611819E-2</v>
      </c>
      <c r="M17" s="108">
        <f t="shared" si="2"/>
        <v>15.506546710137934</v>
      </c>
    </row>
    <row r="19" spans="2:13" x14ac:dyDescent="0.15">
      <c r="B19" s="12" t="s">
        <v>197</v>
      </c>
      <c r="C19" s="94"/>
      <c r="D19" s="12" t="s">
        <v>196</v>
      </c>
      <c r="E19" s="92">
        <v>102.28</v>
      </c>
      <c r="F19" s="92">
        <v>212.64</v>
      </c>
      <c r="G19" s="92">
        <v>1.054</v>
      </c>
      <c r="H19" s="94">
        <f>9.80665*G19</f>
        <v>10.3362091</v>
      </c>
      <c r="I19" s="96">
        <v>15</v>
      </c>
      <c r="J19" s="88">
        <f t="shared" ref="J19:J20" si="3">H19/I19*100000</f>
        <v>68908.060666666657</v>
      </c>
      <c r="K19" s="94">
        <v>201.2</v>
      </c>
      <c r="L19" s="90">
        <f t="shared" ref="L19:L20" si="4">J19/(2*PI()*K19)^2</f>
        <v>4.3117576037590838E-2</v>
      </c>
      <c r="M19" s="108">
        <f t="shared" ref="M19:M20" si="5">1/(SQRT(J19*L19))*1000</f>
        <v>18.345849115095778</v>
      </c>
    </row>
    <row r="20" spans="2:13" x14ac:dyDescent="0.15">
      <c r="B20" s="12" t="s">
        <v>199</v>
      </c>
      <c r="C20" s="94"/>
      <c r="D20" s="12" t="s">
        <v>196</v>
      </c>
      <c r="E20" s="92">
        <v>98.92</v>
      </c>
      <c r="F20" s="92">
        <v>204.57</v>
      </c>
      <c r="G20" s="92">
        <v>1.054</v>
      </c>
      <c r="H20" s="94">
        <f>9.80665*G20</f>
        <v>10.3362091</v>
      </c>
      <c r="I20" s="55">
        <v>21</v>
      </c>
      <c r="J20" s="88">
        <f t="shared" si="3"/>
        <v>49220.043333333328</v>
      </c>
      <c r="K20" s="94">
        <v>181.715</v>
      </c>
      <c r="L20" s="90">
        <f t="shared" si="4"/>
        <v>3.7757279789137677E-2</v>
      </c>
      <c r="M20" s="108">
        <f t="shared" si="5"/>
        <v>23.196830818734998</v>
      </c>
    </row>
    <row r="21" spans="2:13" x14ac:dyDescent="0.15">
      <c r="J21" s="88"/>
      <c r="L21" s="90"/>
      <c r="M21" s="108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3"/>
  </sheetPr>
  <dimension ref="A1:H19"/>
  <sheetViews>
    <sheetView workbookViewId="0">
      <selection activeCell="I28" sqref="I28"/>
    </sheetView>
  </sheetViews>
  <sheetFormatPr baseColWidth="10" defaultColWidth="8.83203125" defaultRowHeight="13" x14ac:dyDescent="0.15"/>
  <cols>
    <col min="2" max="2" width="10" customWidth="1"/>
  </cols>
  <sheetData>
    <row r="1" spans="1:8" x14ac:dyDescent="0.15">
      <c r="A1" s="11" t="s">
        <v>18</v>
      </c>
    </row>
    <row r="2" spans="1:8" x14ac:dyDescent="0.15">
      <c r="A2" s="11"/>
      <c r="C2" s="11"/>
    </row>
    <row r="3" spans="1:8" x14ac:dyDescent="0.15">
      <c r="A3" s="11" t="s">
        <v>94</v>
      </c>
      <c r="C3" s="11"/>
    </row>
    <row r="5" spans="1:8" x14ac:dyDescent="0.15">
      <c r="B5" s="11" t="s">
        <v>2</v>
      </c>
      <c r="C5" s="12"/>
    </row>
    <row r="6" spans="1:8" ht="14" thickBot="1" x14ac:dyDescent="0.2"/>
    <row r="7" spans="1:8" ht="14" thickBot="1" x14ac:dyDescent="0.2">
      <c r="B7" s="29"/>
      <c r="C7" s="1"/>
      <c r="D7" s="1"/>
      <c r="E7" s="1"/>
      <c r="F7" s="1"/>
      <c r="G7" s="1"/>
      <c r="H7" s="2"/>
    </row>
    <row r="8" spans="1:8" ht="14" thickBot="1" x14ac:dyDescent="0.2">
      <c r="B8" s="3"/>
      <c r="C8" s="13" t="s">
        <v>19</v>
      </c>
      <c r="D8" s="14" t="s">
        <v>20</v>
      </c>
      <c r="E8" s="15" t="s">
        <v>21</v>
      </c>
      <c r="H8" s="4"/>
    </row>
    <row r="9" spans="1:8" ht="14" thickBot="1" x14ac:dyDescent="0.2">
      <c r="B9" s="3"/>
      <c r="C9" s="8">
        <v>62.5</v>
      </c>
      <c r="D9" s="9">
        <v>50</v>
      </c>
      <c r="E9" s="10">
        <v>150</v>
      </c>
      <c r="H9" s="4"/>
    </row>
    <row r="10" spans="1:8" ht="14" thickBot="1" x14ac:dyDescent="0.2">
      <c r="B10" s="3"/>
      <c r="H10" s="4"/>
    </row>
    <row r="11" spans="1:8" ht="16" thickBot="1" x14ac:dyDescent="0.25">
      <c r="B11" s="3"/>
      <c r="C11" s="13" t="s">
        <v>22</v>
      </c>
      <c r="D11" s="14" t="s">
        <v>23</v>
      </c>
      <c r="E11" s="15" t="s">
        <v>21</v>
      </c>
      <c r="H11" s="4"/>
    </row>
    <row r="12" spans="1:8" ht="14" thickBot="1" x14ac:dyDescent="0.2">
      <c r="B12" s="3"/>
      <c r="C12" s="8">
        <v>58</v>
      </c>
      <c r="D12" s="9">
        <v>53</v>
      </c>
      <c r="E12" s="23">
        <f>E9</f>
        <v>150</v>
      </c>
      <c r="H12" s="4"/>
    </row>
    <row r="13" spans="1:8" x14ac:dyDescent="0.15">
      <c r="B13" s="3"/>
      <c r="H13" s="4"/>
    </row>
    <row r="14" spans="1:8" x14ac:dyDescent="0.15">
      <c r="B14" s="3"/>
      <c r="H14" s="4"/>
    </row>
    <row r="15" spans="1:8" x14ac:dyDescent="0.15">
      <c r="B15" s="3"/>
      <c r="H15" s="4"/>
    </row>
    <row r="16" spans="1:8" ht="14" thickBot="1" x14ac:dyDescent="0.2">
      <c r="B16" s="3"/>
      <c r="H16" s="4"/>
    </row>
    <row r="17" spans="2:8" ht="14" thickBot="1" x14ac:dyDescent="0.2">
      <c r="B17" s="3"/>
      <c r="C17" s="26"/>
      <c r="D17" s="27" t="s">
        <v>24</v>
      </c>
      <c r="E17" s="25">
        <f>DEGREES(ASIN(((C9-C12)+(D12-D9))/(2*E9)))</f>
        <v>1.4325437375665075</v>
      </c>
      <c r="F17" s="28" t="s">
        <v>25</v>
      </c>
      <c r="H17" s="4"/>
    </row>
    <row r="18" spans="2:8" x14ac:dyDescent="0.15">
      <c r="B18" s="3"/>
      <c r="H18" s="4"/>
    </row>
    <row r="19" spans="2:8" ht="14" thickBot="1" x14ac:dyDescent="0.2">
      <c r="B19" s="5"/>
      <c r="C19" s="6"/>
      <c r="D19" s="6"/>
      <c r="E19" s="6"/>
      <c r="F19" s="6"/>
      <c r="G19" s="6"/>
      <c r="H19" s="7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27"/>
  </sheetPr>
  <dimension ref="A1:Q43"/>
  <sheetViews>
    <sheetView topLeftCell="A23" zoomScale="180" workbookViewId="0">
      <selection activeCell="E43" sqref="E43"/>
    </sheetView>
  </sheetViews>
  <sheetFormatPr baseColWidth="10" defaultColWidth="8.83203125" defaultRowHeight="13" x14ac:dyDescent="0.15"/>
  <cols>
    <col min="3" max="3" width="10.33203125" customWidth="1"/>
    <col min="5" max="5" width="13.83203125" customWidth="1"/>
    <col min="15" max="15" width="15" bestFit="1" customWidth="1"/>
  </cols>
  <sheetData>
    <row r="1" spans="1:17" x14ac:dyDescent="0.15">
      <c r="A1" s="11" t="s">
        <v>4</v>
      </c>
    </row>
    <row r="3" spans="1:17" x14ac:dyDescent="0.15">
      <c r="A3" s="11" t="s">
        <v>101</v>
      </c>
      <c r="M3" s="258"/>
    </row>
    <row r="4" spans="1:17" x14ac:dyDescent="0.15">
      <c r="M4" s="258"/>
    </row>
    <row r="5" spans="1:17" x14ac:dyDescent="0.15">
      <c r="C5" s="11" t="s">
        <v>2</v>
      </c>
      <c r="D5" s="12"/>
    </row>
    <row r="6" spans="1:17" ht="14" thickBot="1" x14ac:dyDescent="0.2"/>
    <row r="7" spans="1:17" x14ac:dyDescent="0.15">
      <c r="C7" s="29"/>
      <c r="D7" s="1"/>
      <c r="E7" s="1"/>
      <c r="F7" s="1"/>
      <c r="G7" s="1"/>
      <c r="H7" s="1"/>
      <c r="I7" s="1"/>
      <c r="J7" s="1"/>
      <c r="K7" s="2"/>
    </row>
    <row r="8" spans="1:17" x14ac:dyDescent="0.15">
      <c r="C8" s="3"/>
      <c r="K8" s="4"/>
      <c r="P8" s="258"/>
      <c r="Q8" s="258"/>
    </row>
    <row r="9" spans="1:17" ht="16" thickBot="1" x14ac:dyDescent="0.2">
      <c r="C9" s="3"/>
      <c r="E9" s="16" t="s">
        <v>14</v>
      </c>
      <c r="F9" s="16" t="s">
        <v>12</v>
      </c>
      <c r="G9" s="16" t="s">
        <v>12</v>
      </c>
      <c r="H9" s="16" t="s">
        <v>12</v>
      </c>
      <c r="I9" s="16" t="s">
        <v>11</v>
      </c>
      <c r="J9" s="16" t="s">
        <v>15</v>
      </c>
      <c r="K9" s="4"/>
    </row>
    <row r="10" spans="1:17" x14ac:dyDescent="0.15">
      <c r="C10" s="3"/>
      <c r="E10" s="20" t="s">
        <v>13</v>
      </c>
      <c r="F10" s="21" t="s">
        <v>8</v>
      </c>
      <c r="G10" s="21" t="s">
        <v>9</v>
      </c>
      <c r="H10" s="21" t="s">
        <v>3</v>
      </c>
      <c r="I10" s="21" t="s">
        <v>16</v>
      </c>
      <c r="J10" s="22" t="s">
        <v>17</v>
      </c>
      <c r="K10" s="4"/>
    </row>
    <row r="11" spans="1:17" x14ac:dyDescent="0.15">
      <c r="C11" s="3"/>
      <c r="E11" s="3"/>
      <c r="J11" s="4"/>
      <c r="K11" s="4"/>
      <c r="Q11">
        <f>1.50562*PI()</f>
        <v>4.7300447310978644</v>
      </c>
    </row>
    <row r="12" spans="1:17" ht="14" thickBot="1" x14ac:dyDescent="0.2">
      <c r="C12" s="3"/>
      <c r="E12" s="17">
        <v>512.1</v>
      </c>
      <c r="F12" s="18">
        <v>0.55600000000000005</v>
      </c>
      <c r="G12" s="18">
        <v>2.9350000000000001E-2</v>
      </c>
      <c r="H12" s="18">
        <v>2.0379999999999999E-2</v>
      </c>
      <c r="I12" s="18">
        <v>0.128</v>
      </c>
      <c r="J12" s="19">
        <f>I12/(H12*G12*F12)</f>
        <v>384.87782781015801</v>
      </c>
      <c r="K12" s="4"/>
      <c r="N12" s="258" t="s">
        <v>261</v>
      </c>
      <c r="Q12" s="258">
        <f>Q11*Q11/SQRT(48*PI()*PI())</f>
        <v>1.0279216286431547</v>
      </c>
    </row>
    <row r="13" spans="1:17" x14ac:dyDescent="0.15">
      <c r="C13" s="3"/>
      <c r="K13" s="4"/>
      <c r="Q13">
        <f>Q11*Q11</f>
        <v>22.373323158186668</v>
      </c>
    </row>
    <row r="14" spans="1:17" x14ac:dyDescent="0.15">
      <c r="C14" s="3"/>
      <c r="K14" s="4"/>
    </row>
    <row r="15" spans="1:17" ht="14" thickBot="1" x14ac:dyDescent="0.2">
      <c r="C15" s="3"/>
      <c r="K15" s="4"/>
    </row>
    <row r="16" spans="1:17" ht="14" thickBot="1" x14ac:dyDescent="0.2">
      <c r="C16" s="3"/>
      <c r="D16" s="27" t="s">
        <v>0</v>
      </c>
      <c r="E16" s="25">
        <f>((E12*F12^2)/(1.027922*G12))^2*J12/1000000000</f>
        <v>10.597296301736396</v>
      </c>
      <c r="F16" s="28" t="s">
        <v>1</v>
      </c>
      <c r="K16" s="4"/>
    </row>
    <row r="17" spans="3:15" x14ac:dyDescent="0.15">
      <c r="C17" s="3"/>
      <c r="K17" s="4"/>
      <c r="O17" s="106"/>
    </row>
    <row r="18" spans="3:15" x14ac:dyDescent="0.15">
      <c r="C18" s="3"/>
      <c r="K18" s="4"/>
    </row>
    <row r="19" spans="3:15" x14ac:dyDescent="0.15">
      <c r="C19" s="3"/>
      <c r="K19" s="4"/>
    </row>
    <row r="20" spans="3:15" x14ac:dyDescent="0.15">
      <c r="C20" s="3"/>
      <c r="K20" s="4"/>
    </row>
    <row r="21" spans="3:15" ht="14" thickBot="1" x14ac:dyDescent="0.2">
      <c r="C21" s="5"/>
      <c r="D21" s="6"/>
      <c r="E21" s="6"/>
      <c r="F21" s="6"/>
      <c r="G21" s="6"/>
      <c r="H21" s="6"/>
      <c r="I21" s="6"/>
      <c r="J21" s="6"/>
      <c r="K21" s="7"/>
    </row>
    <row r="24" spans="3:15" ht="14" thickBot="1" x14ac:dyDescent="0.2">
      <c r="D24" t="s">
        <v>118</v>
      </c>
    </row>
    <row r="25" spans="3:15" x14ac:dyDescent="0.15">
      <c r="E25" s="100" t="s">
        <v>13</v>
      </c>
      <c r="F25" s="101" t="s">
        <v>8</v>
      </c>
      <c r="G25" s="101" t="s">
        <v>9</v>
      </c>
      <c r="H25" s="101" t="s">
        <v>3</v>
      </c>
      <c r="I25" s="101" t="s">
        <v>16</v>
      </c>
      <c r="J25" s="102" t="s">
        <v>17</v>
      </c>
    </row>
    <row r="26" spans="3:15" ht="16" thickBot="1" x14ac:dyDescent="0.2">
      <c r="E26" s="103" t="s">
        <v>14</v>
      </c>
      <c r="F26" s="104" t="s">
        <v>12</v>
      </c>
      <c r="G26" s="104" t="s">
        <v>12</v>
      </c>
      <c r="H26" s="104" t="s">
        <v>12</v>
      </c>
      <c r="I26" s="104" t="s">
        <v>11</v>
      </c>
      <c r="J26" s="105" t="s">
        <v>15</v>
      </c>
      <c r="L26" s="97" t="s">
        <v>1</v>
      </c>
    </row>
    <row r="27" spans="3:15" x14ac:dyDescent="0.15">
      <c r="D27" s="71" t="s">
        <v>96</v>
      </c>
      <c r="E27">
        <v>242</v>
      </c>
      <c r="F27">
        <v>0.41499999999999998</v>
      </c>
      <c r="G27">
        <v>8.5000000000000006E-3</v>
      </c>
      <c r="H27">
        <v>7.0000000000000007E-2</v>
      </c>
      <c r="I27">
        <v>0.28399999999999997</v>
      </c>
      <c r="J27">
        <v>1150.1468057102356</v>
      </c>
      <c r="L27" s="98">
        <v>26.171994048517185</v>
      </c>
    </row>
    <row r="28" spans="3:15" x14ac:dyDescent="0.15">
      <c r="D28" s="71" t="s">
        <v>97</v>
      </c>
      <c r="E28">
        <v>98.5</v>
      </c>
      <c r="F28">
        <v>0.69</v>
      </c>
      <c r="G28">
        <v>0.01</v>
      </c>
      <c r="H28">
        <v>0.02</v>
      </c>
      <c r="I28">
        <v>6.3E-2</v>
      </c>
      <c r="J28">
        <v>456.52173913043481</v>
      </c>
      <c r="L28" s="99">
        <v>9.5022960033202803</v>
      </c>
    </row>
    <row r="29" spans="3:15" x14ac:dyDescent="0.15">
      <c r="D29" s="71" t="s">
        <v>114</v>
      </c>
      <c r="E29">
        <v>300.3</v>
      </c>
      <c r="F29">
        <v>0.62</v>
      </c>
      <c r="G29">
        <v>2.1999999999999999E-2</v>
      </c>
      <c r="H29">
        <v>0.10299999999999999</v>
      </c>
      <c r="I29">
        <v>0.79200000000000004</v>
      </c>
      <c r="J29">
        <v>563.7331663012842</v>
      </c>
      <c r="L29" s="98">
        <v>14.689395201648521</v>
      </c>
    </row>
    <row r="30" spans="3:15" x14ac:dyDescent="0.15">
      <c r="D30" s="71" t="s">
        <v>98</v>
      </c>
      <c r="E30">
        <v>189.9</v>
      </c>
      <c r="F30">
        <v>0.46</v>
      </c>
      <c r="G30">
        <v>9.0500000000000008E-3</v>
      </c>
      <c r="H30">
        <v>7.1999999999999995E-2</v>
      </c>
      <c r="I30">
        <v>0.29299999999999998</v>
      </c>
      <c r="J30">
        <v>977.52689033015713</v>
      </c>
      <c r="L30" s="98">
        <v>18.239422298833247</v>
      </c>
    </row>
    <row r="31" spans="3:15" x14ac:dyDescent="0.15">
      <c r="D31" s="71" t="s">
        <v>99</v>
      </c>
      <c r="E31">
        <v>630.1</v>
      </c>
      <c r="F31">
        <v>0.4</v>
      </c>
      <c r="G31">
        <v>1.8700000000000001E-2</v>
      </c>
      <c r="H31">
        <v>3.7199999999999997E-2</v>
      </c>
      <c r="I31">
        <v>0.16900000000000001</v>
      </c>
      <c r="J31">
        <v>607.3543787016273</v>
      </c>
      <c r="L31" s="98">
        <v>16.707679904978477</v>
      </c>
    </row>
    <row r="32" spans="3:15" x14ac:dyDescent="0.15">
      <c r="D32" s="71" t="s">
        <v>100</v>
      </c>
      <c r="E32">
        <v>256.7</v>
      </c>
      <c r="F32">
        <v>0.47499999999999998</v>
      </c>
      <c r="G32">
        <v>0.01</v>
      </c>
      <c r="H32">
        <v>0.02</v>
      </c>
      <c r="I32">
        <v>3.7999999999999999E-2</v>
      </c>
      <c r="J32">
        <v>400</v>
      </c>
      <c r="L32" s="40">
        <v>12.6994360380841</v>
      </c>
    </row>
    <row r="33" spans="4:12" x14ac:dyDescent="0.15">
      <c r="D33" s="71" t="s">
        <v>112</v>
      </c>
      <c r="E33">
        <v>234.4</v>
      </c>
      <c r="F33">
        <v>0.63</v>
      </c>
      <c r="G33">
        <v>2.1700000000000001E-2</v>
      </c>
      <c r="H33">
        <v>7.6499999999999999E-2</v>
      </c>
      <c r="I33">
        <v>0.54600000000000004</v>
      </c>
      <c r="J33">
        <v>522.07262833448794</v>
      </c>
      <c r="L33" s="40">
        <v>9.0821179318069305</v>
      </c>
    </row>
    <row r="34" spans="4:12" x14ac:dyDescent="0.15">
      <c r="D34" s="71" t="s">
        <v>113</v>
      </c>
      <c r="E34">
        <v>304.39999999999998</v>
      </c>
      <c r="F34">
        <v>0.60099999999999998</v>
      </c>
      <c r="G34">
        <v>2.46E-2</v>
      </c>
      <c r="H34">
        <v>7.9500000000000001E-2</v>
      </c>
      <c r="I34">
        <v>0.56599999999999995</v>
      </c>
      <c r="J34">
        <v>481.54815519837621</v>
      </c>
      <c r="L34" s="40">
        <v>9.1044761234707625</v>
      </c>
    </row>
    <row r="35" spans="4:12" x14ac:dyDescent="0.15">
      <c r="D35" s="71" t="s">
        <v>111</v>
      </c>
      <c r="E35">
        <v>149.19999999999999</v>
      </c>
      <c r="F35">
        <v>0.52500000000000002</v>
      </c>
      <c r="G35">
        <v>8.0000000000000002E-3</v>
      </c>
      <c r="H35">
        <v>6.7000000000000004E-2</v>
      </c>
      <c r="I35">
        <v>0.32300000000000001</v>
      </c>
      <c r="J35">
        <v>1147.8322672352524</v>
      </c>
      <c r="L35" s="40">
        <v>28.705927458229699</v>
      </c>
    </row>
    <row r="36" spans="4:12" x14ac:dyDescent="0.15">
      <c r="D36" s="71" t="s">
        <v>115</v>
      </c>
      <c r="E36">
        <v>1168</v>
      </c>
      <c r="F36">
        <v>0.20499999999999999</v>
      </c>
      <c r="G36">
        <v>1.17E-2</v>
      </c>
      <c r="H36">
        <v>4.7600000000000003E-2</v>
      </c>
      <c r="I36">
        <v>9.0999999999999998E-2</v>
      </c>
      <c r="J36">
        <v>797.06679419735372</v>
      </c>
      <c r="L36" s="40">
        <v>13.277685909213261</v>
      </c>
    </row>
    <row r="37" spans="4:12" x14ac:dyDescent="0.15">
      <c r="D37" s="71" t="s">
        <v>115</v>
      </c>
      <c r="E37">
        <v>141.19999999999999</v>
      </c>
      <c r="F37">
        <v>0.497</v>
      </c>
      <c r="G37">
        <v>7.62E-3</v>
      </c>
      <c r="H37">
        <v>6.4199999999999993E-2</v>
      </c>
      <c r="I37">
        <v>0.19700000000000001</v>
      </c>
      <c r="J37">
        <v>810.25148939441692</v>
      </c>
      <c r="L37" s="40">
        <v>16.065827943428879</v>
      </c>
    </row>
    <row r="38" spans="4:12" x14ac:dyDescent="0.15">
      <c r="D38" s="71" t="s">
        <v>116</v>
      </c>
      <c r="E38">
        <v>143.5</v>
      </c>
      <c r="F38">
        <v>0.53</v>
      </c>
      <c r="G38">
        <v>8.0999999999999996E-3</v>
      </c>
      <c r="H38">
        <v>7.3999999999999996E-2</v>
      </c>
      <c r="I38">
        <v>0.28699999999999998</v>
      </c>
      <c r="J38">
        <v>903.41914241285315</v>
      </c>
      <c r="L38" s="40">
        <v>21.175067294259442</v>
      </c>
    </row>
    <row r="39" spans="4:12" x14ac:dyDescent="0.15">
      <c r="D39" s="71" t="s">
        <v>117</v>
      </c>
      <c r="E39">
        <v>2380</v>
      </c>
      <c r="F39">
        <v>0.10639999999999999</v>
      </c>
      <c r="G39">
        <v>3.1900000000000001E-3</v>
      </c>
      <c r="H39">
        <v>9.4000000000000004E-3</v>
      </c>
      <c r="I39">
        <v>5.0000000000000001E-3</v>
      </c>
      <c r="J39">
        <v>1567.1473755421703</v>
      </c>
      <c r="L39" s="40">
        <v>105.81498322718618</v>
      </c>
    </row>
    <row r="40" spans="4:12" x14ac:dyDescent="0.15">
      <c r="L40" s="40"/>
    </row>
    <row r="41" spans="4:12" x14ac:dyDescent="0.15">
      <c r="D41" s="259" t="s">
        <v>262</v>
      </c>
      <c r="E41">
        <v>512.1</v>
      </c>
      <c r="F41">
        <v>0.55600000000000005</v>
      </c>
      <c r="G41">
        <v>2.9350000000000001E-2</v>
      </c>
      <c r="H41">
        <v>2.0379999999999999E-2</v>
      </c>
      <c r="I41">
        <v>0.128</v>
      </c>
      <c r="J41">
        <f>I41/(H41*G41*F41)</f>
        <v>384.87782781015801</v>
      </c>
      <c r="L41">
        <f>((E41*F41^2)/(1.0279*G41))^2*J41/1000000000</f>
        <v>10.597749931493331</v>
      </c>
    </row>
    <row r="42" spans="4:12" x14ac:dyDescent="0.15">
      <c r="D42" s="259" t="s">
        <v>263</v>
      </c>
      <c r="E42">
        <v>512.70000000000005</v>
      </c>
      <c r="F42">
        <v>0.55600000000000005</v>
      </c>
      <c r="G42">
        <v>2.9350000000000001E-2</v>
      </c>
      <c r="H42">
        <v>2.0379999999999999E-2</v>
      </c>
      <c r="I42">
        <v>0.128</v>
      </c>
      <c r="J42">
        <f>I42/(H42*G42*F42)</f>
        <v>384.87782781015801</v>
      </c>
      <c r="L42">
        <f>((E42*F42^2)/(1.0279*G42))^2*J42/1000000000</f>
        <v>10.622598105689029</v>
      </c>
    </row>
    <row r="43" spans="4:12" x14ac:dyDescent="0.15">
      <c r="D43" s="259" t="s">
        <v>264</v>
      </c>
      <c r="E43">
        <v>512</v>
      </c>
      <c r="F43">
        <v>0.55600000000000005</v>
      </c>
      <c r="G43">
        <v>2.9350000000000001E-2</v>
      </c>
      <c r="H43">
        <v>2.0379999999999999E-2</v>
      </c>
      <c r="I43">
        <v>0.128</v>
      </c>
      <c r="J43">
        <f>I43/(H43*G43*F43)</f>
        <v>384.87782781015801</v>
      </c>
      <c r="L43">
        <f>((E43*F43^2)/(1.0279*G43))^2*J43/1000000000</f>
        <v>10.593611397926807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33"/>
  </sheetPr>
  <dimension ref="A1:N33"/>
  <sheetViews>
    <sheetView workbookViewId="0">
      <selection activeCell="C31" sqref="C31"/>
    </sheetView>
  </sheetViews>
  <sheetFormatPr baseColWidth="10" defaultColWidth="8.83203125" defaultRowHeight="13" x14ac:dyDescent="0.15"/>
  <cols>
    <col min="2" max="2" width="10" customWidth="1"/>
    <col min="3" max="3" width="10" bestFit="1" customWidth="1"/>
    <col min="7" max="7" width="11" bestFit="1" customWidth="1"/>
  </cols>
  <sheetData>
    <row r="1" spans="1:14" x14ac:dyDescent="0.15">
      <c r="A1" s="11" t="s">
        <v>26</v>
      </c>
    </row>
    <row r="3" spans="1:14" x14ac:dyDescent="0.15">
      <c r="A3" s="11" t="s">
        <v>102</v>
      </c>
    </row>
    <row r="5" spans="1:14" x14ac:dyDescent="0.15">
      <c r="B5" s="11" t="s">
        <v>2</v>
      </c>
      <c r="C5" s="12"/>
    </row>
    <row r="7" spans="1:14" x14ac:dyDescent="0.15">
      <c r="E7" t="s">
        <v>5</v>
      </c>
      <c r="L7" t="s">
        <v>6</v>
      </c>
    </row>
    <row r="9" spans="1:14" ht="14" thickBot="1" x14ac:dyDescent="0.2">
      <c r="C9" s="16" t="s">
        <v>11</v>
      </c>
      <c r="D9" s="16" t="s">
        <v>12</v>
      </c>
      <c r="E9" s="16" t="s">
        <v>12</v>
      </c>
      <c r="F9" s="16" t="s">
        <v>12</v>
      </c>
      <c r="G9" s="16" t="s">
        <v>12</v>
      </c>
      <c r="J9" s="16" t="s">
        <v>11</v>
      </c>
      <c r="K9" s="16" t="s">
        <v>12</v>
      </c>
      <c r="L9" s="16" t="s">
        <v>12</v>
      </c>
      <c r="M9" s="16" t="s">
        <v>12</v>
      </c>
      <c r="N9" s="16" t="s">
        <v>12</v>
      </c>
    </row>
    <row r="10" spans="1:14" ht="14" thickBot="1" x14ac:dyDescent="0.2">
      <c r="C10" s="13" t="s">
        <v>7</v>
      </c>
      <c r="D10" s="14" t="s">
        <v>76</v>
      </c>
      <c r="E10" s="14" t="s">
        <v>3</v>
      </c>
      <c r="F10" s="14" t="s">
        <v>9</v>
      </c>
      <c r="G10" s="15" t="s">
        <v>10</v>
      </c>
      <c r="J10" s="13" t="s">
        <v>7</v>
      </c>
      <c r="K10" s="14" t="s">
        <v>76</v>
      </c>
      <c r="L10" s="14" t="s">
        <v>3</v>
      </c>
      <c r="M10" s="14" t="s">
        <v>9</v>
      </c>
      <c r="N10" s="15" t="s">
        <v>10</v>
      </c>
    </row>
    <row r="11" spans="1:14" x14ac:dyDescent="0.15">
      <c r="C11" s="3"/>
      <c r="G11" s="4"/>
      <c r="J11" s="3"/>
      <c r="N11" s="4"/>
    </row>
    <row r="12" spans="1:14" ht="14" thickBot="1" x14ac:dyDescent="0.2">
      <c r="C12" s="8">
        <v>0.47349999999999998</v>
      </c>
      <c r="D12" s="9">
        <v>0.45</v>
      </c>
      <c r="E12" s="9">
        <v>0.21249999999999999</v>
      </c>
      <c r="F12" s="9">
        <v>3.4819999999999999E-3</v>
      </c>
      <c r="G12" s="10">
        <v>8.0009999999999999E-4</v>
      </c>
      <c r="J12" s="8">
        <v>0.47349999999999998</v>
      </c>
      <c r="K12" s="9">
        <v>0.45</v>
      </c>
      <c r="L12" s="9">
        <v>0.21249999999999999</v>
      </c>
      <c r="M12" s="9">
        <v>3.4819999999999999E-3</v>
      </c>
      <c r="N12" s="10">
        <v>7.6199999999999998E-4</v>
      </c>
    </row>
    <row r="13" spans="1:14" ht="14" thickBot="1" x14ac:dyDescent="0.2"/>
    <row r="14" spans="1:14" ht="16" thickBot="1" x14ac:dyDescent="0.25">
      <c r="C14" s="30" t="s">
        <v>27</v>
      </c>
      <c r="D14" s="24">
        <f>C12*9.81*D12^3/(4*E12*F12^3*G12)/1000000000</f>
        <v>14.742700252326006</v>
      </c>
      <c r="E14" s="28" t="s">
        <v>1</v>
      </c>
      <c r="J14" s="30" t="s">
        <v>27</v>
      </c>
      <c r="K14" s="24">
        <f>J12*9.81*K12^3/(4*L12*M12^3*N12)/1000000000</f>
        <v>15.479835264942304</v>
      </c>
      <c r="L14" s="28" t="s">
        <v>1</v>
      </c>
    </row>
    <row r="19" spans="3:14" ht="14" thickBot="1" x14ac:dyDescent="0.2"/>
    <row r="20" spans="3:14" ht="14" thickBot="1" x14ac:dyDescent="0.2">
      <c r="C20" s="13" t="s">
        <v>7</v>
      </c>
      <c r="D20" s="14" t="s">
        <v>76</v>
      </c>
      <c r="E20" s="14" t="s">
        <v>3</v>
      </c>
      <c r="F20" s="14" t="s">
        <v>9</v>
      </c>
      <c r="G20" s="15" t="s">
        <v>10</v>
      </c>
      <c r="J20" s="13" t="s">
        <v>7</v>
      </c>
      <c r="K20" s="14" t="s">
        <v>8</v>
      </c>
      <c r="L20" s="14" t="s">
        <v>3</v>
      </c>
      <c r="M20" s="14" t="s">
        <v>9</v>
      </c>
      <c r="N20" s="15" t="s">
        <v>10</v>
      </c>
    </row>
    <row r="21" spans="3:14" x14ac:dyDescent="0.15">
      <c r="C21" s="3"/>
      <c r="G21" s="4"/>
      <c r="J21" s="3"/>
      <c r="N21" s="4"/>
    </row>
    <row r="22" spans="3:14" ht="14" thickBot="1" x14ac:dyDescent="0.2">
      <c r="C22" s="8">
        <v>0.47349999999999998</v>
      </c>
      <c r="D22" s="9">
        <v>0.17499999999999999</v>
      </c>
      <c r="E22" s="9">
        <v>0.56799999999999995</v>
      </c>
      <c r="F22" s="9">
        <v>3.4819999999999999E-3</v>
      </c>
      <c r="G22" s="10">
        <v>2.7305E-4</v>
      </c>
      <c r="J22" s="8">
        <v>0.47349999999999998</v>
      </c>
      <c r="K22" s="9">
        <v>0.17499999999999999</v>
      </c>
      <c r="L22" s="9">
        <v>0.56799999999999995</v>
      </c>
      <c r="M22" s="9">
        <v>3.4819999999999999E-3</v>
      </c>
      <c r="N22" s="10">
        <v>2.4130000000000001E-4</v>
      </c>
    </row>
    <row r="23" spans="3:14" ht="14" thickBot="1" x14ac:dyDescent="0.2"/>
    <row r="24" spans="3:14" ht="16" thickBot="1" x14ac:dyDescent="0.25">
      <c r="C24" s="30" t="s">
        <v>28</v>
      </c>
      <c r="D24" s="24">
        <f>C22*9.81*D22^3/(4*E22*F22^3*G22)/1000000000</f>
        <v>0.95053109475524467</v>
      </c>
      <c r="E24" s="28" t="s">
        <v>1</v>
      </c>
      <c r="J24" s="30" t="s">
        <v>28</v>
      </c>
      <c r="K24" s="24">
        <f>J22*9.81*K22^3/(4*L22*M22^3*N22)/1000000000</f>
        <v>1.0756009756440925</v>
      </c>
      <c r="L24" s="28" t="s">
        <v>1</v>
      </c>
    </row>
    <row r="28" spans="3:14" ht="14" thickBot="1" x14ac:dyDescent="0.2"/>
    <row r="29" spans="3:14" ht="14" thickBot="1" x14ac:dyDescent="0.2">
      <c r="C29" s="13" t="s">
        <v>7</v>
      </c>
      <c r="D29" s="14" t="s">
        <v>76</v>
      </c>
      <c r="E29" s="14" t="s">
        <v>3</v>
      </c>
      <c r="F29" s="14" t="s">
        <v>9</v>
      </c>
      <c r="G29" s="15" t="s">
        <v>10</v>
      </c>
      <c r="J29" s="13" t="s">
        <v>7</v>
      </c>
      <c r="K29" s="14" t="s">
        <v>8</v>
      </c>
      <c r="L29" s="14" t="s">
        <v>3</v>
      </c>
      <c r="M29" s="14" t="s">
        <v>9</v>
      </c>
      <c r="N29" s="15" t="s">
        <v>10</v>
      </c>
    </row>
    <row r="30" spans="3:14" x14ac:dyDescent="0.15">
      <c r="C30" s="3"/>
      <c r="G30" s="4"/>
      <c r="J30" s="3"/>
      <c r="N30" s="4"/>
    </row>
    <row r="31" spans="3:14" ht="14" thickBot="1" x14ac:dyDescent="0.2">
      <c r="C31" s="8">
        <v>0.47349999999999998</v>
      </c>
      <c r="D31" s="9">
        <v>0.17499999999999999</v>
      </c>
      <c r="E31" s="9">
        <v>0.56799999999999995</v>
      </c>
      <c r="F31" s="9">
        <v>3.4819999999999999E-3</v>
      </c>
      <c r="G31" s="10">
        <v>2.7305E-4</v>
      </c>
      <c r="J31" s="8">
        <v>0.47349999999999998</v>
      </c>
      <c r="K31" s="9">
        <v>0.17499999999999999</v>
      </c>
      <c r="L31" s="9">
        <v>0.56799999999999995</v>
      </c>
      <c r="M31" s="9">
        <v>3.4819999999999999E-3</v>
      </c>
      <c r="N31" s="10">
        <v>2.4130000000000001E-4</v>
      </c>
    </row>
    <row r="32" spans="3:14" ht="14" thickBot="1" x14ac:dyDescent="0.2"/>
    <row r="33" spans="3:12" ht="16" thickBot="1" x14ac:dyDescent="0.25">
      <c r="C33" s="30" t="s">
        <v>28</v>
      </c>
      <c r="D33" s="24">
        <f>C31*9.81*D31^3/(4*E31*F31^3*G31)/1000000000</f>
        <v>0.95053109475524467</v>
      </c>
      <c r="E33" s="28" t="s">
        <v>1</v>
      </c>
      <c r="J33" s="30" t="s">
        <v>28</v>
      </c>
      <c r="K33" s="24">
        <f>J31*9.81*K31^3/(4*L31*M31^3*N31)/1000000000</f>
        <v>1.0756009756440925</v>
      </c>
      <c r="L33" s="28" t="s">
        <v>1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indexed="48"/>
  </sheetPr>
  <dimension ref="A1:J36"/>
  <sheetViews>
    <sheetView topLeftCell="A4" workbookViewId="0">
      <selection activeCell="P35" sqref="P35"/>
    </sheetView>
  </sheetViews>
  <sheetFormatPr baseColWidth="10" defaultColWidth="8.83203125" defaultRowHeight="13" x14ac:dyDescent="0.15"/>
  <cols>
    <col min="2" max="2" width="10.1640625" bestFit="1" customWidth="1"/>
    <col min="3" max="9" width="13.83203125" customWidth="1"/>
    <col min="10" max="10" width="11" bestFit="1" customWidth="1"/>
  </cols>
  <sheetData>
    <row r="1" spans="1:9" x14ac:dyDescent="0.15">
      <c r="A1" s="11" t="s">
        <v>45</v>
      </c>
    </row>
    <row r="3" spans="1:9" x14ac:dyDescent="0.15">
      <c r="A3" s="11" t="s">
        <v>103</v>
      </c>
    </row>
    <row r="5" spans="1:9" x14ac:dyDescent="0.15">
      <c r="B5" s="11" t="s">
        <v>2</v>
      </c>
      <c r="C5" s="12"/>
    </row>
    <row r="10" spans="1:9" x14ac:dyDescent="0.15">
      <c r="G10" s="271" t="s">
        <v>148</v>
      </c>
      <c r="H10" s="271"/>
      <c r="I10" s="271"/>
    </row>
    <row r="11" spans="1:9" x14ac:dyDescent="0.15">
      <c r="C11" s="41" t="s">
        <v>29</v>
      </c>
      <c r="D11" s="41" t="s">
        <v>30</v>
      </c>
      <c r="E11" s="41" t="s">
        <v>31</v>
      </c>
      <c r="F11" s="41" t="s">
        <v>32</v>
      </c>
      <c r="G11" s="41" t="s">
        <v>33</v>
      </c>
      <c r="H11" s="41" t="s">
        <v>34</v>
      </c>
      <c r="I11" s="41" t="s">
        <v>35</v>
      </c>
    </row>
    <row r="12" spans="1:9" x14ac:dyDescent="0.15">
      <c r="C12" s="42">
        <v>61.6</v>
      </c>
      <c r="D12" s="42">
        <v>105</v>
      </c>
      <c r="E12" s="42">
        <v>38.200000000000003</v>
      </c>
      <c r="F12" s="42">
        <v>228</v>
      </c>
      <c r="G12" s="42">
        <v>605</v>
      </c>
      <c r="H12" s="42">
        <v>238</v>
      </c>
      <c r="I12" s="42">
        <v>4</v>
      </c>
    </row>
    <row r="13" spans="1:9" x14ac:dyDescent="0.15">
      <c r="C13" s="31" t="s">
        <v>29</v>
      </c>
      <c r="D13" s="31" t="s">
        <v>30</v>
      </c>
      <c r="E13" s="31" t="s">
        <v>31</v>
      </c>
      <c r="F13" s="31" t="s">
        <v>36</v>
      </c>
      <c r="G13" s="31" t="s">
        <v>37</v>
      </c>
      <c r="H13" s="31" t="s">
        <v>38</v>
      </c>
      <c r="I13" s="31" t="s">
        <v>39</v>
      </c>
    </row>
    <row r="14" spans="1:9" x14ac:dyDescent="0.15">
      <c r="C14" s="32">
        <f>C12</f>
        <v>61.6</v>
      </c>
      <c r="D14" s="32">
        <f>D12</f>
        <v>105</v>
      </c>
      <c r="E14" s="32">
        <f>E12</f>
        <v>38.200000000000003</v>
      </c>
      <c r="F14" s="33">
        <f>F12/1000</f>
        <v>0.22800000000000001</v>
      </c>
      <c r="G14" s="32">
        <f>G12/1000</f>
        <v>0.60499999999999998</v>
      </c>
      <c r="H14" s="32">
        <f>H12/1000</f>
        <v>0.23799999999999999</v>
      </c>
      <c r="I14" s="32">
        <f>I12/1000</f>
        <v>4.0000000000000001E-3</v>
      </c>
    </row>
    <row r="16" spans="1:9" x14ac:dyDescent="0.15">
      <c r="C16" s="43" t="s">
        <v>17</v>
      </c>
      <c r="D16" s="43" t="s">
        <v>40</v>
      </c>
      <c r="E16" s="43" t="s">
        <v>41</v>
      </c>
      <c r="F16" s="43" t="s">
        <v>42</v>
      </c>
      <c r="I16" s="34"/>
    </row>
    <row r="17" spans="3:10" x14ac:dyDescent="0.15">
      <c r="C17" s="43" t="s">
        <v>43</v>
      </c>
      <c r="D17" s="43" t="s">
        <v>1</v>
      </c>
      <c r="E17" s="43" t="s">
        <v>1</v>
      </c>
      <c r="F17" s="43" t="s">
        <v>1</v>
      </c>
      <c r="H17" s="44" t="s">
        <v>44</v>
      </c>
    </row>
    <row r="18" spans="3:10" x14ac:dyDescent="0.15">
      <c r="C18" s="35">
        <f>Mass/(Length*Width*t)</f>
        <v>395.86082366831039</v>
      </c>
      <c r="D18" s="126">
        <f>(1/((PI()/2)^2*(3/2)^4))*(12*(1-G36))*C19*G14^4*C14^2/I14^2</f>
        <v>11841534802.061182</v>
      </c>
      <c r="E18" s="36">
        <f>(1/((PI()/2)^2*(3/2)^4))*(12*(1-G36))*C18*H14^4*D14^2/I14^2</f>
        <v>823970188.61362255</v>
      </c>
      <c r="F18" s="36">
        <f>3*(1/(PI()/2)^2)*C18*G14^2*H14^2*E14^2/I14^2</f>
        <v>910113237.55879867</v>
      </c>
      <c r="H18" s="37">
        <f>D18/E18</f>
        <v>14.371314600574626</v>
      </c>
    </row>
    <row r="19" spans="3:10" x14ac:dyDescent="0.15">
      <c r="C19" s="38">
        <f>C18</f>
        <v>395.86082366831039</v>
      </c>
      <c r="D19" s="38">
        <f>D18/1000000000</f>
        <v>11.841534802061181</v>
      </c>
      <c r="E19" s="38">
        <f>E18/1000000000</f>
        <v>0.82397018861362259</v>
      </c>
      <c r="F19" s="38">
        <f>F18/1000000000</f>
        <v>0.91011323755879869</v>
      </c>
      <c r="H19" s="39">
        <f>H18</f>
        <v>14.371314600574626</v>
      </c>
    </row>
    <row r="21" spans="3:10" ht="14" thickBot="1" x14ac:dyDescent="0.2"/>
    <row r="22" spans="3:10" ht="14" thickTop="1" x14ac:dyDescent="0.15">
      <c r="C22" s="263" t="s">
        <v>119</v>
      </c>
      <c r="D22" s="263"/>
      <c r="E22" s="263"/>
      <c r="F22" s="263"/>
      <c r="G22" s="263"/>
    </row>
    <row r="23" spans="3:10" x14ac:dyDescent="0.15">
      <c r="C23" s="266" t="s">
        <v>127</v>
      </c>
      <c r="D23" s="266"/>
      <c r="E23" s="111" t="s">
        <v>133</v>
      </c>
      <c r="F23" s="111" t="s">
        <v>134</v>
      </c>
      <c r="G23" s="111" t="s">
        <v>135</v>
      </c>
    </row>
    <row r="24" spans="3:10" x14ac:dyDescent="0.15">
      <c r="C24" s="109" t="s">
        <v>120</v>
      </c>
      <c r="D24" s="109" t="s">
        <v>121</v>
      </c>
      <c r="E24" s="110">
        <v>0.29699999999999999</v>
      </c>
      <c r="F24" s="110">
        <v>3.3000000000000002E-2</v>
      </c>
      <c r="G24" s="110">
        <f>F24*E24</f>
        <v>9.8010000000000007E-3</v>
      </c>
    </row>
    <row r="25" spans="3:10" x14ac:dyDescent="0.15">
      <c r="C25" s="109" t="s">
        <v>120</v>
      </c>
      <c r="D25" s="109" t="s">
        <v>122</v>
      </c>
      <c r="E25" s="110">
        <v>0.314</v>
      </c>
      <c r="F25" s="110">
        <v>3.3000000000000002E-2</v>
      </c>
      <c r="G25" s="110">
        <f t="shared" ref="G25:G28" si="0">F25*E25</f>
        <v>1.0362E-2</v>
      </c>
    </row>
    <row r="26" spans="3:10" x14ac:dyDescent="0.15">
      <c r="C26" s="109" t="s">
        <v>128</v>
      </c>
      <c r="D26" s="109" t="s">
        <v>123</v>
      </c>
      <c r="E26" s="110">
        <v>0.42399999999999999</v>
      </c>
      <c r="F26" s="110">
        <v>6.5000000000000002E-2</v>
      </c>
      <c r="G26" s="110">
        <f t="shared" si="0"/>
        <v>2.7560000000000001E-2</v>
      </c>
    </row>
    <row r="27" spans="3:10" x14ac:dyDescent="0.15">
      <c r="C27" s="109" t="s">
        <v>128</v>
      </c>
      <c r="D27" s="109" t="s">
        <v>124</v>
      </c>
      <c r="E27" s="110">
        <v>0.434</v>
      </c>
      <c r="F27" s="110">
        <v>6.3E-2</v>
      </c>
      <c r="G27" s="110">
        <f t="shared" si="0"/>
        <v>2.7342000000000002E-2</v>
      </c>
    </row>
    <row r="28" spans="3:10" x14ac:dyDescent="0.15">
      <c r="C28" s="109" t="s">
        <v>125</v>
      </c>
      <c r="D28" s="109" t="s">
        <v>126</v>
      </c>
      <c r="E28" s="110">
        <v>0.495</v>
      </c>
      <c r="F28" s="110">
        <v>5.1999999999999998E-2</v>
      </c>
      <c r="G28" s="110">
        <f t="shared" si="0"/>
        <v>2.5739999999999999E-2</v>
      </c>
    </row>
    <row r="29" spans="3:10" x14ac:dyDescent="0.15">
      <c r="C29" s="109"/>
      <c r="D29" s="109"/>
      <c r="E29" s="110"/>
      <c r="F29" s="110"/>
      <c r="G29" s="110"/>
      <c r="J29" s="46"/>
    </row>
    <row r="30" spans="3:10" x14ac:dyDescent="0.15">
      <c r="C30" s="109" t="s">
        <v>131</v>
      </c>
      <c r="D30" s="109" t="s">
        <v>129</v>
      </c>
      <c r="E30" s="110">
        <v>0.378</v>
      </c>
      <c r="F30" s="110"/>
      <c r="G30" s="110"/>
    </row>
    <row r="31" spans="3:10" x14ac:dyDescent="0.15">
      <c r="C31" s="109" t="s">
        <v>130</v>
      </c>
      <c r="D31" s="109"/>
      <c r="E31" s="110">
        <v>0.36</v>
      </c>
      <c r="F31" s="110"/>
      <c r="G31" s="110"/>
    </row>
    <row r="32" spans="3:10" x14ac:dyDescent="0.15">
      <c r="C32" s="109" t="s">
        <v>132</v>
      </c>
      <c r="D32" s="109" t="s">
        <v>54</v>
      </c>
      <c r="E32" s="110">
        <v>0.372</v>
      </c>
      <c r="F32" s="110">
        <v>0.04</v>
      </c>
      <c r="G32" s="110">
        <f t="shared" ref="G32:G33" si="1">F32*E32</f>
        <v>1.4880000000000001E-2</v>
      </c>
    </row>
    <row r="33" spans="3:10" x14ac:dyDescent="0.15">
      <c r="C33" s="109" t="s">
        <v>132</v>
      </c>
      <c r="D33" s="109" t="s">
        <v>56</v>
      </c>
      <c r="E33" s="110">
        <v>0.42199999999999999</v>
      </c>
      <c r="F33" s="110">
        <v>8.3000000000000004E-2</v>
      </c>
      <c r="G33" s="110">
        <f t="shared" si="1"/>
        <v>3.5026000000000002E-2</v>
      </c>
    </row>
    <row r="34" spans="3:10" ht="14" thickBot="1" x14ac:dyDescent="0.2">
      <c r="C34" s="112"/>
      <c r="D34" s="113" t="s">
        <v>136</v>
      </c>
      <c r="E34" s="114">
        <f>AVERAGE(E24:E33)</f>
        <v>0.38844444444444443</v>
      </c>
      <c r="F34" s="114">
        <f>AVERAGE(F24:F33)</f>
        <v>5.2714285714285714E-2</v>
      </c>
      <c r="G34" s="114">
        <f>AVERAGE(G24:G33)</f>
        <v>2.1530142857142859E-2</v>
      </c>
      <c r="I34" s="125">
        <v>11960000000</v>
      </c>
    </row>
    <row r="35" spans="3:10" ht="14" thickTop="1" x14ac:dyDescent="0.15">
      <c r="D35" s="116" t="s">
        <v>138</v>
      </c>
      <c r="F35">
        <v>0.05</v>
      </c>
      <c r="G35">
        <v>0.02</v>
      </c>
    </row>
    <row r="36" spans="3:10" x14ac:dyDescent="0.15">
      <c r="D36" s="115" t="s">
        <v>137</v>
      </c>
      <c r="E36" s="115"/>
      <c r="F36" s="117">
        <v>0.05</v>
      </c>
      <c r="G36" s="117">
        <v>0.02</v>
      </c>
      <c r="H36" s="45">
        <f>(1/((PI()/2)^2*(3/2)^4))*(12*(1-VlcxVcl))</f>
        <v>0.94146142785887788</v>
      </c>
      <c r="I36" s="125">
        <f>1-I34*((PI()/2)^2*(3/2)^4)*I14^2/(12*C18*G14^4*C14^2)</f>
        <v>1.0195874443587272E-2</v>
      </c>
      <c r="J36" s="45">
        <f>I34*I14^2/(C18*G14^4*C14^2)</f>
        <v>0.95088000545606999</v>
      </c>
    </row>
  </sheetData>
  <mergeCells count="3">
    <mergeCell ref="C23:D23"/>
    <mergeCell ref="C22:G22"/>
    <mergeCell ref="G10:I10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4BDC-00C9-4439-8C33-D384670DC6F5}">
  <sheetPr>
    <tabColor rgb="FFFF0000"/>
  </sheetPr>
  <dimension ref="A1:AH52"/>
  <sheetViews>
    <sheetView zoomScaleNormal="100" workbookViewId="0">
      <selection activeCell="F52" sqref="F52"/>
    </sheetView>
  </sheetViews>
  <sheetFormatPr baseColWidth="10" defaultColWidth="10.1640625" defaultRowHeight="13" x14ac:dyDescent="0.15"/>
  <cols>
    <col min="1" max="1" width="10.5" style="109" bestFit="1" customWidth="1"/>
    <col min="2" max="2" width="19.6640625" style="109" bestFit="1" customWidth="1"/>
    <col min="3" max="3" width="10.1640625" style="109"/>
    <col min="4" max="4" width="13.6640625" style="109" bestFit="1" customWidth="1"/>
    <col min="5" max="5" width="11" style="109" bestFit="1" customWidth="1"/>
    <col min="6" max="6" width="8" style="109" bestFit="1" customWidth="1"/>
    <col min="7" max="7" width="8.83203125" style="109" bestFit="1" customWidth="1"/>
    <col min="8" max="8" width="7" style="109" bestFit="1" customWidth="1"/>
    <col min="9" max="9" width="7.5" style="109" bestFit="1" customWidth="1"/>
    <col min="10" max="10" width="7.5" style="109" customWidth="1"/>
    <col min="11" max="11" width="9.33203125" style="109" bestFit="1" customWidth="1"/>
    <col min="12" max="12" width="7.5" style="109" bestFit="1" customWidth="1"/>
    <col min="13" max="13" width="6.33203125" style="109" bestFit="1" customWidth="1"/>
    <col min="14" max="14" width="6.83203125" style="109" bestFit="1" customWidth="1"/>
    <col min="15" max="15" width="11.6640625" style="109" bestFit="1" customWidth="1"/>
    <col min="16" max="16" width="7.5" style="109" bestFit="1" customWidth="1"/>
    <col min="17" max="17" width="6.6640625" style="109" bestFit="1" customWidth="1"/>
    <col min="18" max="18" width="5.83203125" style="109" bestFit="1" customWidth="1"/>
    <col min="19" max="19" width="4.6640625" style="109" bestFit="1" customWidth="1"/>
    <col min="20" max="20" width="22.83203125" style="109" bestFit="1" customWidth="1"/>
    <col min="21" max="21" width="5.6640625" style="109" bestFit="1" customWidth="1"/>
    <col min="22" max="22" width="8.1640625" style="109" bestFit="1" customWidth="1"/>
    <col min="23" max="23" width="10.1640625" style="109" bestFit="1" customWidth="1"/>
    <col min="24" max="24" width="9.5" style="109" bestFit="1" customWidth="1"/>
    <col min="25" max="25" width="11.5" style="109" bestFit="1" customWidth="1"/>
    <col min="26" max="26" width="11.6640625" style="109" bestFit="1" customWidth="1"/>
    <col min="27" max="27" width="9" style="109" bestFit="1" customWidth="1"/>
    <col min="28" max="28" width="5.5" style="109" bestFit="1" customWidth="1"/>
    <col min="29" max="29" width="22.83203125" style="109" bestFit="1" customWidth="1"/>
    <col min="30" max="30" width="8.6640625" style="109" bestFit="1" customWidth="1"/>
    <col min="31" max="31" width="7" style="109" bestFit="1" customWidth="1"/>
    <col min="32" max="32" width="9.5" style="109" bestFit="1" customWidth="1"/>
    <col min="33" max="33" width="10" style="109" bestFit="1" customWidth="1"/>
    <col min="34" max="34" width="12" style="109" bestFit="1" customWidth="1"/>
    <col min="35" max="16384" width="10.1640625" style="109"/>
  </cols>
  <sheetData>
    <row r="1" spans="1:32" x14ac:dyDescent="0.15">
      <c r="A1" s="262" t="s">
        <v>195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 spans="1:32" x14ac:dyDescent="0.15">
      <c r="A2" s="262" t="s">
        <v>102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 spans="1:32" x14ac:dyDescent="0.15">
      <c r="C3" s="119" t="s">
        <v>2</v>
      </c>
      <c r="D3" s="12"/>
    </row>
    <row r="4" spans="1:32" ht="14" thickBot="1" x14ac:dyDescent="0.2"/>
    <row r="5" spans="1:32" ht="14" thickTop="1" x14ac:dyDescent="0.15">
      <c r="C5" s="263" t="s">
        <v>119</v>
      </c>
      <c r="D5" s="263"/>
      <c r="E5" s="263"/>
      <c r="F5" s="263"/>
      <c r="G5" s="263"/>
      <c r="AC5" s="264" t="s">
        <v>161</v>
      </c>
      <c r="AD5" s="265"/>
      <c r="AE5" s="119"/>
      <c r="AF5" s="119"/>
    </row>
    <row r="6" spans="1:32" ht="15" x14ac:dyDescent="0.15">
      <c r="C6" s="266" t="s">
        <v>127</v>
      </c>
      <c r="D6" s="266"/>
      <c r="E6" s="166" t="s">
        <v>177</v>
      </c>
      <c r="F6" s="166" t="s">
        <v>178</v>
      </c>
      <c r="G6" s="166" t="s">
        <v>179</v>
      </c>
      <c r="AC6" s="147" t="s">
        <v>162</v>
      </c>
      <c r="AD6" s="148" t="s">
        <v>143</v>
      </c>
      <c r="AE6" s="119"/>
    </row>
    <row r="7" spans="1:32" x14ac:dyDescent="0.15">
      <c r="C7" s="109" t="s">
        <v>120</v>
      </c>
      <c r="D7" s="109" t="s">
        <v>121</v>
      </c>
      <c r="E7" s="110">
        <v>0.29699999999999999</v>
      </c>
      <c r="F7" s="110">
        <v>3.3000000000000002E-2</v>
      </c>
      <c r="G7" s="110">
        <f>F7*E7</f>
        <v>9.8010000000000007E-3</v>
      </c>
      <c r="L7" s="130"/>
      <c r="M7" s="130"/>
      <c r="N7" s="130"/>
      <c r="O7" s="130"/>
      <c r="P7" s="130"/>
      <c r="Q7" s="130"/>
      <c r="AC7" s="145" t="s">
        <v>144</v>
      </c>
      <c r="AD7" s="146">
        <v>75</v>
      </c>
      <c r="AE7" s="118"/>
    </row>
    <row r="8" spans="1:32" x14ac:dyDescent="0.15">
      <c r="C8" s="109" t="s">
        <v>120</v>
      </c>
      <c r="D8" s="109" t="s">
        <v>122</v>
      </c>
      <c r="E8" s="110">
        <v>0.314</v>
      </c>
      <c r="F8" s="110">
        <v>3.3000000000000002E-2</v>
      </c>
      <c r="G8" s="110">
        <f t="shared" ref="G8:G11" si="0">F8*E8</f>
        <v>1.0362E-2</v>
      </c>
      <c r="L8" s="124"/>
      <c r="M8" s="124"/>
      <c r="N8" s="124"/>
      <c r="O8" s="124"/>
      <c r="P8" s="122"/>
      <c r="Q8" s="122"/>
      <c r="AC8" s="145" t="s">
        <v>145</v>
      </c>
      <c r="AD8" s="146">
        <v>55</v>
      </c>
      <c r="AE8" s="118"/>
    </row>
    <row r="9" spans="1:32" x14ac:dyDescent="0.15">
      <c r="C9" s="109" t="s">
        <v>128</v>
      </c>
      <c r="D9" s="109" t="s">
        <v>123</v>
      </c>
      <c r="E9" s="110">
        <v>0.42399999999999999</v>
      </c>
      <c r="F9" s="110">
        <v>6.5000000000000002E-2</v>
      </c>
      <c r="G9" s="110">
        <f t="shared" si="0"/>
        <v>2.7560000000000001E-2</v>
      </c>
      <c r="I9" s="119"/>
      <c r="J9" s="119"/>
      <c r="K9" s="119"/>
      <c r="L9" s="119"/>
      <c r="M9" s="119"/>
      <c r="N9" s="119"/>
      <c r="O9" s="119"/>
      <c r="P9" s="119"/>
      <c r="Q9" s="119"/>
      <c r="AC9" s="145" t="s">
        <v>146</v>
      </c>
      <c r="AD9" s="146">
        <v>60</v>
      </c>
      <c r="AE9" s="118"/>
    </row>
    <row r="10" spans="1:32" x14ac:dyDescent="0.15">
      <c r="C10" s="109" t="s">
        <v>128</v>
      </c>
      <c r="D10" s="109" t="s">
        <v>124</v>
      </c>
      <c r="E10" s="110">
        <v>0.434</v>
      </c>
      <c r="F10" s="110">
        <v>6.3E-2</v>
      </c>
      <c r="G10" s="110">
        <f t="shared" si="0"/>
        <v>2.7342000000000002E-2</v>
      </c>
      <c r="I10" s="119"/>
      <c r="J10" s="119"/>
      <c r="K10" s="119"/>
      <c r="L10" s="119"/>
      <c r="M10" s="119"/>
      <c r="N10" s="119"/>
      <c r="O10" s="119"/>
      <c r="P10" s="119"/>
      <c r="Q10" s="119"/>
      <c r="T10" s="118"/>
      <c r="AC10" s="149" t="s">
        <v>147</v>
      </c>
      <c r="AD10" s="150">
        <v>50</v>
      </c>
      <c r="AE10" s="118"/>
    </row>
    <row r="11" spans="1:32" x14ac:dyDescent="0.15">
      <c r="C11" s="109" t="s">
        <v>125</v>
      </c>
      <c r="D11" s="109" t="s">
        <v>126</v>
      </c>
      <c r="E11" s="110">
        <v>0.495</v>
      </c>
      <c r="F11" s="110">
        <v>5.1999999999999998E-2</v>
      </c>
      <c r="G11" s="110">
        <f t="shared" si="0"/>
        <v>2.5739999999999999E-2</v>
      </c>
      <c r="I11" s="118"/>
      <c r="J11" s="118"/>
      <c r="K11" s="118"/>
      <c r="L11" s="118"/>
      <c r="M11" s="118"/>
      <c r="N11" s="118"/>
      <c r="O11" s="118"/>
      <c r="P11" s="118"/>
      <c r="Q11" s="152"/>
    </row>
    <row r="12" spans="1:32" x14ac:dyDescent="0.15">
      <c r="E12" s="110"/>
      <c r="F12" s="110"/>
      <c r="G12" s="110"/>
      <c r="I12" s="118"/>
      <c r="J12" s="118"/>
      <c r="K12" s="118"/>
      <c r="L12" s="118"/>
      <c r="M12" s="118"/>
      <c r="N12" s="118"/>
      <c r="O12" s="118"/>
      <c r="P12" s="118"/>
      <c r="Q12" s="152"/>
    </row>
    <row r="13" spans="1:32" x14ac:dyDescent="0.15">
      <c r="C13" s="109" t="s">
        <v>131</v>
      </c>
      <c r="D13" s="109" t="s">
        <v>129</v>
      </c>
      <c r="E13" s="110">
        <v>0.378</v>
      </c>
      <c r="F13" s="110"/>
      <c r="G13" s="110"/>
      <c r="I13" s="118"/>
      <c r="J13" s="118"/>
      <c r="K13" s="118"/>
      <c r="L13" s="118"/>
      <c r="M13" s="118"/>
      <c r="N13" s="118"/>
      <c r="O13" s="118"/>
      <c r="P13" s="118"/>
      <c r="Q13" s="152"/>
    </row>
    <row r="14" spans="1:32" x14ac:dyDescent="0.15">
      <c r="C14" s="109" t="s">
        <v>130</v>
      </c>
      <c r="E14" s="110">
        <v>0.36</v>
      </c>
      <c r="F14" s="110"/>
      <c r="G14" s="110"/>
      <c r="I14" s="118"/>
      <c r="J14" s="118"/>
      <c r="K14" s="118"/>
      <c r="L14" s="118"/>
      <c r="M14" s="118"/>
      <c r="N14" s="118"/>
      <c r="O14" s="118"/>
      <c r="P14" s="118"/>
      <c r="Q14" s="152"/>
    </row>
    <row r="15" spans="1:32" x14ac:dyDescent="0.15">
      <c r="C15" s="109" t="s">
        <v>132</v>
      </c>
      <c r="D15" s="109" t="s">
        <v>54</v>
      </c>
      <c r="E15" s="110">
        <v>0.372</v>
      </c>
      <c r="F15" s="110">
        <v>0.04</v>
      </c>
      <c r="G15" s="110">
        <f t="shared" ref="G15:G16" si="1">F15*E15</f>
        <v>1.4880000000000001E-2</v>
      </c>
      <c r="L15" s="118"/>
      <c r="M15" s="118"/>
      <c r="N15" s="118"/>
      <c r="O15" s="118"/>
    </row>
    <row r="16" spans="1:32" ht="16" x14ac:dyDescent="0.2">
      <c r="C16" s="109" t="s">
        <v>132</v>
      </c>
      <c r="D16" s="109" t="s">
        <v>56</v>
      </c>
      <c r="E16" s="110">
        <v>0.42199999999999999</v>
      </c>
      <c r="F16" s="110">
        <v>8.3000000000000004E-2</v>
      </c>
      <c r="G16" s="110">
        <f t="shared" si="1"/>
        <v>3.5026000000000002E-2</v>
      </c>
      <c r="L16" s="118"/>
      <c r="M16" s="118"/>
      <c r="N16" s="118"/>
      <c r="O16" s="118"/>
      <c r="Q16" s="118"/>
      <c r="X16" s="151"/>
    </row>
    <row r="17" spans="1:34" ht="14" thickBot="1" x14ac:dyDescent="0.2">
      <c r="C17" s="113"/>
      <c r="D17" s="113" t="s">
        <v>136</v>
      </c>
      <c r="E17" s="131">
        <f>AVERAGE(E7:E16)</f>
        <v>0.38844444444444443</v>
      </c>
      <c r="F17" s="131">
        <f>AVERAGE(F7:F16)</f>
        <v>5.2714285714285714E-2</v>
      </c>
      <c r="G17" s="131">
        <f>AVERAGE(G7:G16)</f>
        <v>2.1530142857142859E-2</v>
      </c>
      <c r="I17" s="132"/>
      <c r="J17" s="132"/>
      <c r="K17" s="132"/>
    </row>
    <row r="18" spans="1:34" ht="14" thickTop="1" x14ac:dyDescent="0.15">
      <c r="D18" s="165" t="s">
        <v>138</v>
      </c>
      <c r="F18" s="172">
        <v>0.05</v>
      </c>
      <c r="G18" s="172">
        <v>0.02</v>
      </c>
      <c r="H18" s="187"/>
      <c r="I18" s="188"/>
      <c r="J18" s="168" t="s">
        <v>184</v>
      </c>
      <c r="K18" s="168" t="s">
        <v>185</v>
      </c>
      <c r="L18" s="168" t="s">
        <v>186</v>
      </c>
      <c r="N18" s="159"/>
      <c r="O18" s="159"/>
    </row>
    <row r="19" spans="1:34" x14ac:dyDescent="0.15">
      <c r="D19" s="135" t="s">
        <v>137</v>
      </c>
      <c r="E19" s="124"/>
      <c r="F19" s="134">
        <v>0.05</v>
      </c>
      <c r="G19" s="134">
        <v>0.02</v>
      </c>
      <c r="H19" s="174"/>
      <c r="I19" s="189"/>
      <c r="J19" s="136">
        <f>PI()*(12*(1-G19)/126)^0.5</f>
        <v>0.95977240918616047</v>
      </c>
      <c r="K19" s="136">
        <f>4*F19/7</f>
        <v>2.8571428571428574E-2</v>
      </c>
      <c r="L19" s="136">
        <f>4*12*(1-G19)/42</f>
        <v>1.1199999999999999</v>
      </c>
      <c r="N19" s="175"/>
      <c r="O19" s="175"/>
    </row>
    <row r="20" spans="1:34" x14ac:dyDescent="0.15">
      <c r="T20" s="261" t="s">
        <v>160</v>
      </c>
      <c r="U20" s="261"/>
      <c r="V20" s="261"/>
      <c r="W20" s="261"/>
      <c r="X20" s="261"/>
      <c r="Y20" s="261"/>
      <c r="Z20" s="261"/>
      <c r="AA20" s="261"/>
      <c r="AB20" s="261"/>
    </row>
    <row r="21" spans="1:34" x14ac:dyDescent="0.15">
      <c r="C21" s="261" t="s">
        <v>148</v>
      </c>
      <c r="D21" s="261"/>
      <c r="E21" s="261"/>
      <c r="T21" s="267" t="s">
        <v>163</v>
      </c>
      <c r="U21" s="268"/>
      <c r="V21" s="167" t="s">
        <v>154</v>
      </c>
      <c r="W21" s="144" t="s">
        <v>149</v>
      </c>
      <c r="X21" s="128"/>
      <c r="Y21" s="128"/>
      <c r="Z21" s="269" t="s">
        <v>157</v>
      </c>
      <c r="AA21" s="269"/>
      <c r="AB21" s="269"/>
    </row>
    <row r="22" spans="1:34" ht="15" x14ac:dyDescent="0.15">
      <c r="A22" s="267" t="s">
        <v>153</v>
      </c>
      <c r="B22" s="268"/>
      <c r="C22" s="133" t="s">
        <v>8</v>
      </c>
      <c r="D22" s="133" t="s">
        <v>3</v>
      </c>
      <c r="E22" s="133" t="s">
        <v>180</v>
      </c>
      <c r="F22" s="133" t="s">
        <v>16</v>
      </c>
      <c r="G22" s="170" t="s">
        <v>170</v>
      </c>
      <c r="H22" s="168" t="s">
        <v>189</v>
      </c>
      <c r="I22" s="171" t="s">
        <v>190</v>
      </c>
      <c r="J22" s="171" t="s">
        <v>191</v>
      </c>
      <c r="K22" s="192" t="s">
        <v>201</v>
      </c>
      <c r="L22" s="168" t="s">
        <v>192</v>
      </c>
      <c r="M22" s="168" t="s">
        <v>193</v>
      </c>
      <c r="N22" s="168" t="s">
        <v>194</v>
      </c>
      <c r="O22" s="192" t="s">
        <v>202</v>
      </c>
      <c r="P22" s="169" t="s">
        <v>169</v>
      </c>
      <c r="Q22" s="168" t="s">
        <v>174</v>
      </c>
      <c r="R22" s="168" t="s">
        <v>175</v>
      </c>
      <c r="S22" s="168" t="s">
        <v>176</v>
      </c>
      <c r="T22" s="267" t="s">
        <v>188</v>
      </c>
      <c r="U22" s="270"/>
      <c r="V22" s="168" t="s">
        <v>182</v>
      </c>
      <c r="W22" s="168" t="s">
        <v>183</v>
      </c>
      <c r="X22" s="168" t="s">
        <v>141</v>
      </c>
      <c r="Y22" s="168" t="s">
        <v>140</v>
      </c>
      <c r="Z22" s="167" t="s">
        <v>181</v>
      </c>
      <c r="AA22" s="168" t="s">
        <v>156</v>
      </c>
      <c r="AB22" s="168" t="s">
        <v>16</v>
      </c>
    </row>
    <row r="23" spans="1:34" s="127" customFormat="1" x14ac:dyDescent="0.15">
      <c r="A23" s="168" t="s">
        <v>81</v>
      </c>
      <c r="B23" s="168" t="s">
        <v>152</v>
      </c>
      <c r="C23" s="123" t="s">
        <v>64</v>
      </c>
      <c r="D23" s="123" t="s">
        <v>64</v>
      </c>
      <c r="E23" s="123" t="s">
        <v>64</v>
      </c>
      <c r="F23" s="123" t="s">
        <v>11</v>
      </c>
      <c r="G23" s="120" t="s">
        <v>43</v>
      </c>
      <c r="H23" s="123" t="s">
        <v>11</v>
      </c>
      <c r="I23" s="123" t="s">
        <v>64</v>
      </c>
      <c r="J23" s="123" t="s">
        <v>64</v>
      </c>
      <c r="K23" s="168" t="s">
        <v>64</v>
      </c>
      <c r="L23" s="123" t="s">
        <v>11</v>
      </c>
      <c r="M23" s="123" t="s">
        <v>64</v>
      </c>
      <c r="N23" s="123" t="s">
        <v>64</v>
      </c>
      <c r="O23" s="168" t="s">
        <v>64</v>
      </c>
      <c r="P23" s="120" t="s">
        <v>1</v>
      </c>
      <c r="Q23" s="120" t="s">
        <v>1</v>
      </c>
      <c r="R23" s="123"/>
      <c r="S23" s="120" t="s">
        <v>1</v>
      </c>
      <c r="T23" s="168" t="s">
        <v>142</v>
      </c>
      <c r="U23" s="168" t="s">
        <v>143</v>
      </c>
      <c r="V23" s="123" t="s">
        <v>64</v>
      </c>
      <c r="W23" s="123" t="s">
        <v>64</v>
      </c>
      <c r="X23" s="123"/>
      <c r="Y23" s="123"/>
      <c r="Z23" s="123" t="s">
        <v>139</v>
      </c>
      <c r="AA23" s="168" t="s">
        <v>158</v>
      </c>
      <c r="AB23" s="168" t="s">
        <v>159</v>
      </c>
      <c r="AC23" s="109"/>
      <c r="AD23" s="109"/>
      <c r="AE23" s="109"/>
      <c r="AF23" s="109"/>
      <c r="AG23" s="109"/>
      <c r="AH23" s="109"/>
    </row>
    <row r="24" spans="1:34" s="127" customFormat="1" x14ac:dyDescent="0.15">
      <c r="A24" s="159"/>
      <c r="B24" s="164" t="s">
        <v>166</v>
      </c>
      <c r="C24" s="160"/>
      <c r="D24" s="160"/>
      <c r="E24" s="160"/>
      <c r="F24" s="160"/>
      <c r="G24" s="161"/>
      <c r="H24" s="162"/>
      <c r="I24" s="162"/>
      <c r="J24" s="162"/>
      <c r="K24" s="162"/>
      <c r="L24" s="162"/>
      <c r="M24" s="173"/>
      <c r="N24" s="173"/>
      <c r="O24" s="173"/>
      <c r="P24" s="161"/>
      <c r="Q24" s="161"/>
      <c r="S24" s="161"/>
      <c r="T24" s="163"/>
      <c r="U24" s="163"/>
      <c r="V24" s="160"/>
      <c r="W24" s="160"/>
      <c r="Z24" s="160"/>
      <c r="AA24" s="163"/>
      <c r="AB24" s="163"/>
      <c r="AC24" s="109"/>
      <c r="AD24" s="109"/>
      <c r="AE24" s="109"/>
      <c r="AF24" s="109"/>
      <c r="AG24" s="109"/>
      <c r="AH24" s="109"/>
    </row>
    <row r="25" spans="1:34" x14ac:dyDescent="0.15">
      <c r="A25" s="109">
        <v>1</v>
      </c>
      <c r="B25" s="118" t="s">
        <v>155</v>
      </c>
      <c r="C25" s="137">
        <v>0.60499999999999998</v>
      </c>
      <c r="D25" s="137">
        <v>0.23799999999999999</v>
      </c>
      <c r="E25" s="178">
        <v>3.4819999999999999E-3</v>
      </c>
      <c r="F25" s="137">
        <v>0.2</v>
      </c>
      <c r="G25" s="153">
        <f t="shared" ref="G25:G26" si="2">F25/(C25*D25*E25)</f>
        <v>398.90446473423259</v>
      </c>
      <c r="H25" s="181">
        <v>0.47349999999999998</v>
      </c>
      <c r="I25" s="182">
        <v>0.45</v>
      </c>
      <c r="J25" s="183">
        <v>0.21249999999999999</v>
      </c>
      <c r="K25" s="184">
        <v>8.0009999999999999E-4</v>
      </c>
      <c r="L25" s="185">
        <v>0.47349999999999998</v>
      </c>
      <c r="M25" s="185">
        <v>0.17499999999999999</v>
      </c>
      <c r="N25" s="185">
        <v>0.56799999999999995</v>
      </c>
      <c r="O25" s="186">
        <v>2.7305E-4</v>
      </c>
      <c r="P25" s="176">
        <f>H25*9.81*I25^3/(4*J25*E25^3*K25)/1000000000</f>
        <v>14.742700252326006</v>
      </c>
      <c r="Q25" s="177">
        <f>L25*9.81*M25^3/(4*N25*E25^3*O25)/1000000000</f>
        <v>0.95053109475524467</v>
      </c>
      <c r="R25" s="140">
        <f t="shared" ref="R25" si="3">P25/Q25</f>
        <v>15.509961045642754</v>
      </c>
      <c r="S25" s="193">
        <v>1.0900000000000001</v>
      </c>
      <c r="T25" s="121" t="s">
        <v>146</v>
      </c>
      <c r="U25" s="140">
        <f>INDEX(Vib_Stiff24[],MATCH($T25,Vib_Stiff24[PanelType],0),2)</f>
        <v>60</v>
      </c>
      <c r="V25" s="141">
        <v>0.49</v>
      </c>
      <c r="W25" s="141">
        <v>0.39</v>
      </c>
      <c r="X25" s="140">
        <f t="shared" ref="X25" si="4">Coef_2*U25*V25^2*G25^0.5</f>
        <v>276.1506819424626</v>
      </c>
      <c r="Y25" s="142">
        <f t="shared" ref="Y25" si="5">(P25+(V25/W25)^4*Q25+(V25/W25)^2*(Coef_3*P25+Coef_4*S25))*10^9</f>
        <v>19703341112.552818</v>
      </c>
      <c r="Z25" s="158">
        <f t="shared" ref="Z25" si="6">X25/Y25^0.5*1000</f>
        <v>1.9673253223124443</v>
      </c>
      <c r="AA25" s="141">
        <v>0.14421500000000001</v>
      </c>
      <c r="AB25" s="143">
        <f t="shared" ref="AB25" si="7">(AA25*Z25/1000)*G25*1000</f>
        <v>113.17630566409206</v>
      </c>
    </row>
    <row r="26" spans="1:34" x14ac:dyDescent="0.15">
      <c r="A26" s="109">
        <v>2</v>
      </c>
      <c r="B26" s="118" t="s">
        <v>155</v>
      </c>
      <c r="C26" s="137">
        <v>0.60499999999999998</v>
      </c>
      <c r="D26" s="137">
        <v>0.23799999999999999</v>
      </c>
      <c r="E26" s="178">
        <v>3.4819999999999999E-3</v>
      </c>
      <c r="F26" s="137">
        <v>0.2</v>
      </c>
      <c r="G26" s="179">
        <f t="shared" si="2"/>
        <v>398.90446473423259</v>
      </c>
      <c r="H26" s="178">
        <v>0.47349999999999998</v>
      </c>
      <c r="I26" s="178">
        <v>0.45</v>
      </c>
      <c r="J26" s="178">
        <v>0.21249999999999999</v>
      </c>
      <c r="K26" s="178">
        <v>7.6199999999999998E-4</v>
      </c>
      <c r="L26" s="178">
        <v>0.47349999999999998</v>
      </c>
      <c r="M26" s="178">
        <v>0.17499999999999999</v>
      </c>
      <c r="N26" s="178">
        <v>0.56799999999999995</v>
      </c>
      <c r="O26" s="178">
        <v>2.4130000000000001E-4</v>
      </c>
      <c r="P26" s="180">
        <f>H26*9.81*I26^3/(4*J26*E26^3*K26)/1000000000</f>
        <v>15.479835264942304</v>
      </c>
      <c r="Q26" s="177">
        <f>L26*9.81*M26^3/(4*N26*E26^3*O26)/1000000000</f>
        <v>1.0756009756440925</v>
      </c>
      <c r="R26" s="140">
        <f t="shared" ref="R26" si="8">P26/Q26</f>
        <v>14.391801063282461</v>
      </c>
      <c r="S26" s="193">
        <v>1.0900000000000001</v>
      </c>
      <c r="T26" s="121" t="s">
        <v>146</v>
      </c>
      <c r="U26" s="140">
        <f>INDEX(Vib_Stiff24[],MATCH($T26,Vib_Stiff24[PanelType],0),2)</f>
        <v>60</v>
      </c>
      <c r="V26" s="141">
        <v>0.49</v>
      </c>
      <c r="W26" s="141">
        <v>0.39</v>
      </c>
      <c r="X26" s="140">
        <f t="shared" ref="X26" si="9">Coef_2*U26*V26^2*G26^0.5</f>
        <v>276.1506819424626</v>
      </c>
      <c r="Y26" s="142">
        <f t="shared" ref="Y26" si="10">(P26+(V26/W26)^4*Q26+(V26/W26)^2*(Coef_3*P26+Coef_4*S26))*10^9</f>
        <v>20785380570.069721</v>
      </c>
      <c r="Z26" s="158">
        <f t="shared" ref="Z26" si="11">X26/Y26^0.5*1000</f>
        <v>1.9154337247869144</v>
      </c>
      <c r="AA26" s="141">
        <v>0.14421500000000001</v>
      </c>
      <c r="AB26" s="143">
        <f t="shared" ref="AB26" si="12">(AA26*Z26/1000)*G26*1000</f>
        <v>110.1910854585979</v>
      </c>
    </row>
    <row r="27" spans="1:34" x14ac:dyDescent="0.15">
      <c r="A27" s="109" t="s">
        <v>200</v>
      </c>
      <c r="B27" s="118" t="s">
        <v>155</v>
      </c>
      <c r="C27" s="137">
        <v>0.127</v>
      </c>
      <c r="D27" s="137">
        <v>6.8000000000000005E-2</v>
      </c>
      <c r="E27" s="178">
        <v>3.0000000000000001E-3</v>
      </c>
      <c r="F27" s="137">
        <v>1.167E-2</v>
      </c>
      <c r="G27" s="140">
        <f t="shared" ref="G27:G28" si="13">F27/(C27*D27*E27)</f>
        <v>450.44001852709579</v>
      </c>
      <c r="H27" s="178">
        <v>1.0580000000000001</v>
      </c>
      <c r="I27" s="193">
        <v>0.1</v>
      </c>
      <c r="J27" s="137">
        <v>6.8000000000000005E-2</v>
      </c>
      <c r="K27" s="178">
        <v>1.2999999999999999E-4</v>
      </c>
      <c r="L27" s="178">
        <v>0.504</v>
      </c>
      <c r="M27" s="137">
        <v>0.15</v>
      </c>
      <c r="N27" s="137">
        <v>6.6000000000000003E-2</v>
      </c>
      <c r="O27" s="178">
        <v>1.42E-3</v>
      </c>
      <c r="P27" s="194">
        <f>H27*9.81*I27^3/(4*J27*E27^3*K27)/1000000000</f>
        <v>10.871229260935147</v>
      </c>
      <c r="Q27" s="195">
        <f>L27*9.81*M27^3/(4*N27*E27^3*O27)/1000000000</f>
        <v>1.6486075544174137</v>
      </c>
      <c r="R27" s="140">
        <f t="shared" ref="R27:R28" si="14">P27/Q27</f>
        <v>6.5941886726200467</v>
      </c>
      <c r="S27" s="193">
        <v>1.0900000000000001</v>
      </c>
      <c r="T27" s="121" t="s">
        <v>146</v>
      </c>
      <c r="U27" s="140">
        <f>INDEX(Vib_Stiff24[],MATCH($T27,Vib_Stiff24[PanelType],0),2)</f>
        <v>60</v>
      </c>
      <c r="V27" s="141">
        <v>0.49199999999999999</v>
      </c>
      <c r="W27" s="141">
        <v>0.372</v>
      </c>
      <c r="X27" s="140">
        <f t="shared" ref="X27:X28" si="15">Coef_2*U27*V27^2*G27^0.5</f>
        <v>295.84770235161341</v>
      </c>
      <c r="Y27" s="142">
        <f t="shared" ref="Y27:Y28" si="16">(P27+(V27/W27)^4*Q27+(V27/W27)^2*(Coef_3*P27+Coef_4*S27))*10^9</f>
        <v>18594353976.692959</v>
      </c>
      <c r="Z27" s="158">
        <f t="shared" ref="Z27:Z28" si="17">X27/Y27^0.5*1000</f>
        <v>2.169589915889834</v>
      </c>
      <c r="AA27" s="141">
        <v>0.14399999999999999</v>
      </c>
      <c r="AB27" s="143">
        <f t="shared" ref="AB27:AB28" si="18">(AA27*Z27/1000)*G27*1000</f>
        <v>140.72689755498484</v>
      </c>
    </row>
    <row r="28" spans="1:34" x14ac:dyDescent="0.15">
      <c r="A28" s="109" t="s">
        <v>200</v>
      </c>
      <c r="B28" s="118" t="s">
        <v>155</v>
      </c>
      <c r="C28" s="137">
        <v>0.217</v>
      </c>
      <c r="D28" s="137">
        <v>6.6000000000000003E-2</v>
      </c>
      <c r="E28" s="178">
        <v>3.0999999999999999E-3</v>
      </c>
      <c r="F28" s="137">
        <v>1.8419999999999999E-2</v>
      </c>
      <c r="G28" s="140">
        <f t="shared" si="13"/>
        <v>414.88168439261045</v>
      </c>
      <c r="H28" s="178">
        <v>1.0580000000000001</v>
      </c>
      <c r="I28" s="193">
        <v>0.1</v>
      </c>
      <c r="J28" s="137">
        <v>6.8000000000000005E-2</v>
      </c>
      <c r="K28" s="178">
        <v>1.2999999999999999E-4</v>
      </c>
      <c r="L28" s="178">
        <v>0.504</v>
      </c>
      <c r="M28" s="137">
        <v>0.15</v>
      </c>
      <c r="N28" s="137">
        <v>6.6000000000000003E-2</v>
      </c>
      <c r="O28" s="178">
        <v>1.42E-3</v>
      </c>
      <c r="P28" s="194">
        <f>H28*9.81*I28^3/(4*J28*E28^3*K28)/1000000000</f>
        <v>9.8527471399163815</v>
      </c>
      <c r="Q28" s="195">
        <f>L28*9.81*M28^3/(4*N28*E28^3*O28)/1000000000</f>
        <v>1.4941560863774355</v>
      </c>
      <c r="R28" s="140">
        <f t="shared" si="14"/>
        <v>6.594188672620044</v>
      </c>
      <c r="S28" s="193">
        <v>1.0900000000000001</v>
      </c>
      <c r="T28" s="121" t="s">
        <v>146</v>
      </c>
      <c r="U28" s="140">
        <f>INDEX(Vib_Stiff24[],MATCH($T28,Vib_Stiff24[PanelType],0),2)</f>
        <v>60</v>
      </c>
      <c r="V28" s="141">
        <v>0.49199999999999999</v>
      </c>
      <c r="W28" s="141">
        <v>0.372</v>
      </c>
      <c r="X28" s="140">
        <f t="shared" si="15"/>
        <v>283.93036990737164</v>
      </c>
      <c r="Y28" s="142">
        <f t="shared" si="16"/>
        <v>17052384633.762007</v>
      </c>
      <c r="Z28" s="158">
        <f t="shared" si="17"/>
        <v>2.1742991106774303</v>
      </c>
      <c r="AA28" s="141">
        <v>0.14399999999999999</v>
      </c>
      <c r="AB28" s="143">
        <f t="shared" si="18"/>
        <v>129.89907034721381</v>
      </c>
    </row>
    <row r="29" spans="1:34" x14ac:dyDescent="0.15">
      <c r="B29" s="119" t="s">
        <v>136</v>
      </c>
      <c r="G29" s="152">
        <f>AVERAGE(G25:G25)</f>
        <v>398.90446473423259</v>
      </c>
      <c r="P29" s="110">
        <f>AVERAGE(P25:P25)</f>
        <v>14.742700252326006</v>
      </c>
      <c r="Q29" s="110">
        <f>AVERAGE(Q25:Q25)</f>
        <v>0.95053109475524467</v>
      </c>
      <c r="R29" s="152">
        <f>AVERAGE(R25:R25)</f>
        <v>15.509961045642754</v>
      </c>
      <c r="S29" s="122">
        <f>AVERAGE(S25:S25)</f>
        <v>1.0900000000000001</v>
      </c>
      <c r="Z29" s="122">
        <f>AVERAGE(Z25:Z25)</f>
        <v>1.9673253223124443</v>
      </c>
      <c r="AB29" s="157">
        <f>AVERAGE(AB25:AB25)</f>
        <v>113.17630566409206</v>
      </c>
    </row>
    <row r="31" spans="1:34" x14ac:dyDescent="0.15">
      <c r="B31" s="109" t="s">
        <v>167</v>
      </c>
    </row>
    <row r="32" spans="1:34" x14ac:dyDescent="0.15">
      <c r="A32" s="109" t="s">
        <v>200</v>
      </c>
      <c r="B32" s="118" t="s">
        <v>168</v>
      </c>
      <c r="C32" s="137">
        <v>0.54</v>
      </c>
      <c r="D32" s="137">
        <v>0.20899999999999999</v>
      </c>
      <c r="E32" s="178">
        <v>3.8E-3</v>
      </c>
      <c r="F32" s="137">
        <v>0.34799999999999998</v>
      </c>
      <c r="G32" s="140">
        <f t="shared" ref="G32" si="19">F32/(C32*D32*E32)</f>
        <v>811.4384845686784</v>
      </c>
      <c r="H32" s="178">
        <v>1.0580000000000001</v>
      </c>
      <c r="I32" s="193">
        <v>0.4</v>
      </c>
      <c r="J32" s="137">
        <v>0.20899999999999999</v>
      </c>
      <c r="K32" s="178">
        <v>9.2000000000000003E-4</v>
      </c>
      <c r="L32" s="178">
        <v>1.0580000000000001</v>
      </c>
      <c r="M32" s="137">
        <v>0.15</v>
      </c>
      <c r="N32" s="137">
        <v>0.54</v>
      </c>
      <c r="O32" s="178">
        <v>2.1000000000000001E-4</v>
      </c>
      <c r="P32" s="194">
        <f>H32*9.81*I32^3/(4*J32*E32^3*K32)/1000000000</f>
        <v>15.739457326001324</v>
      </c>
      <c r="Q32" s="195">
        <f>L32*9.81*M32^3/(4*N32*E32^3*O32)/1000000000</f>
        <v>1.407358098327536</v>
      </c>
      <c r="R32" s="140">
        <f t="shared" ref="R32" si="20">P32/Q32</f>
        <v>11.18369045142501</v>
      </c>
      <c r="S32" s="193">
        <v>1.0900000000000001</v>
      </c>
      <c r="T32" s="121" t="s">
        <v>147</v>
      </c>
      <c r="U32" s="140">
        <f>INDEX(Vib_Stiff24[],MATCH($T32,Vib_Stiff24[PanelType],0),2)</f>
        <v>50</v>
      </c>
      <c r="V32" s="141">
        <v>0.49199999999999999</v>
      </c>
      <c r="W32" s="141">
        <v>0.372</v>
      </c>
      <c r="X32" s="140">
        <f t="shared" ref="X32" si="21">Coef_2*U32*V32^2*G32^0.5</f>
        <v>330.89962240078216</v>
      </c>
      <c r="Y32" s="142">
        <f t="shared" ref="Y32" si="22">(P32+(V32/W32)^4*Q32+(V32/W32)^2*(Coef_3*P32+Coef_4*S32))*10^9</f>
        <v>22967717266.111183</v>
      </c>
      <c r="Z32" s="158">
        <f t="shared" ref="Z32" si="23">X32/Y32^0.5*1000</f>
        <v>2.1834203559870833</v>
      </c>
      <c r="AA32" s="141">
        <v>0.14399999999999999</v>
      </c>
      <c r="AB32" s="143">
        <f t="shared" ref="AB32" si="24">(AA32*Z32/1000)*G32*1000</f>
        <v>255.12642789675311</v>
      </c>
    </row>
    <row r="37" spans="9:20" x14ac:dyDescent="0.15">
      <c r="I37"/>
      <c r="J37"/>
      <c r="K37"/>
      <c r="L37"/>
      <c r="M37"/>
      <c r="N37"/>
      <c r="O37"/>
      <c r="P37"/>
      <c r="Q37"/>
      <c r="R37"/>
      <c r="S37"/>
      <c r="T37"/>
    </row>
    <row r="50" spans="9:20" x14ac:dyDescent="0.15">
      <c r="I50"/>
      <c r="J50"/>
      <c r="K50"/>
      <c r="L50"/>
      <c r="M50"/>
      <c r="N50"/>
      <c r="O50"/>
      <c r="P50"/>
      <c r="Q50"/>
      <c r="R50"/>
      <c r="S50"/>
      <c r="T50"/>
    </row>
    <row r="51" spans="9:20" x14ac:dyDescent="0.15">
      <c r="I51"/>
      <c r="J51"/>
      <c r="K51"/>
      <c r="R51"/>
      <c r="S51"/>
      <c r="T51"/>
    </row>
    <row r="52" spans="9:20" x14ac:dyDescent="0.15">
      <c r="I52"/>
      <c r="J52"/>
      <c r="K52"/>
      <c r="L52"/>
      <c r="M52"/>
      <c r="N52"/>
      <c r="O52"/>
      <c r="P52"/>
      <c r="Q52"/>
      <c r="R52"/>
      <c r="S52"/>
      <c r="T52"/>
    </row>
  </sheetData>
  <mergeCells count="11">
    <mergeCell ref="C21:E21"/>
    <mergeCell ref="T21:U21"/>
    <mergeCell ref="Z21:AB21"/>
    <mergeCell ref="A22:B22"/>
    <mergeCell ref="T22:U22"/>
    <mergeCell ref="T20:AB20"/>
    <mergeCell ref="A1:Z1"/>
    <mergeCell ref="A2:Z2"/>
    <mergeCell ref="C5:G5"/>
    <mergeCell ref="AC5:AD5"/>
    <mergeCell ref="C6:D6"/>
  </mergeCells>
  <dataValidations count="1">
    <dataValidation type="list" allowBlank="1" showInputMessage="1" showErrorMessage="1" sqref="X13 T32 T25:T28" xr:uid="{A3DEBC13-46CE-4D1E-BD8D-45F2ED5DBE94}">
      <formula1>dd_items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BFD4-64B0-4AB7-9531-71B6C339D0AA}">
  <sheetPr>
    <tabColor indexed="8"/>
  </sheetPr>
  <dimension ref="A1:AA81"/>
  <sheetViews>
    <sheetView tabSelected="1" topLeftCell="B33" zoomScale="115" zoomScaleNormal="115" workbookViewId="0">
      <selection activeCell="X52" sqref="X52"/>
    </sheetView>
  </sheetViews>
  <sheetFormatPr baseColWidth="10" defaultColWidth="10.1640625" defaultRowHeight="13" x14ac:dyDescent="0.15"/>
  <cols>
    <col min="1" max="1" width="3" style="109" bestFit="1" customWidth="1"/>
    <col min="2" max="2" width="19.6640625" style="109" bestFit="1" customWidth="1"/>
    <col min="3" max="3" width="10.1640625" style="109"/>
    <col min="4" max="4" width="13.6640625" style="109" bestFit="1" customWidth="1"/>
    <col min="5" max="5" width="11" style="109" bestFit="1" customWidth="1"/>
    <col min="6" max="6" width="6.6640625" style="109" bestFit="1" customWidth="1"/>
    <col min="7" max="7" width="8.83203125" style="109" bestFit="1" customWidth="1"/>
    <col min="8" max="8" width="12.83203125" style="109" bestFit="1" customWidth="1"/>
    <col min="9" max="9" width="7.5" style="109" bestFit="1" customWidth="1"/>
    <col min="10" max="10" width="10.1640625" style="109" bestFit="1" customWidth="1"/>
    <col min="11" max="12" width="7.5" style="109" bestFit="1" customWidth="1"/>
    <col min="13" max="13" width="7" style="109" bestFit="1" customWidth="1"/>
    <col min="14" max="14" width="4.6640625" style="109" bestFit="1" customWidth="1"/>
    <col min="15" max="15" width="22.83203125" style="109" bestFit="1" customWidth="1"/>
    <col min="16" max="16" width="5.6640625" style="109" bestFit="1" customWidth="1"/>
    <col min="17" max="17" width="8.1640625" style="109" bestFit="1" customWidth="1"/>
    <col min="18" max="18" width="10.1640625" style="109" bestFit="1" customWidth="1"/>
    <col min="19" max="19" width="9.5" style="109" bestFit="1" customWidth="1"/>
    <col min="20" max="20" width="11.5" style="109" bestFit="1" customWidth="1"/>
    <col min="21" max="21" width="11.6640625" style="109" bestFit="1" customWidth="1"/>
    <col min="22" max="22" width="6" style="109" bestFit="1" customWidth="1"/>
    <col min="23" max="23" width="6.6640625" style="109" bestFit="1" customWidth="1"/>
    <col min="24" max="24" width="23.6640625" style="109" bestFit="1" customWidth="1"/>
    <col min="25" max="16384" width="10.1640625" style="109"/>
  </cols>
  <sheetData>
    <row r="1" spans="1:27" x14ac:dyDescent="0.15">
      <c r="A1" s="262" t="s">
        <v>151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</row>
    <row r="2" spans="1:27" x14ac:dyDescent="0.15">
      <c r="A2" s="262" t="s">
        <v>150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</row>
    <row r="3" spans="1:27" x14ac:dyDescent="0.15">
      <c r="C3" s="119" t="s">
        <v>2</v>
      </c>
      <c r="D3" s="12"/>
    </row>
    <row r="4" spans="1:27" ht="14" thickBot="1" x14ac:dyDescent="0.2"/>
    <row r="5" spans="1:27" ht="14" thickTop="1" x14ac:dyDescent="0.15">
      <c r="C5" s="263" t="s">
        <v>119</v>
      </c>
      <c r="D5" s="263"/>
      <c r="E5" s="263"/>
      <c r="F5" s="263"/>
      <c r="G5" s="263"/>
      <c r="X5" s="264" t="s">
        <v>161</v>
      </c>
      <c r="Y5" s="265"/>
      <c r="Z5" s="119"/>
      <c r="AA5" s="119"/>
    </row>
    <row r="6" spans="1:27" ht="15" x14ac:dyDescent="0.15">
      <c r="C6" s="266" t="s">
        <v>127</v>
      </c>
      <c r="D6" s="266"/>
      <c r="E6" s="166" t="s">
        <v>177</v>
      </c>
      <c r="F6" s="166" t="s">
        <v>178</v>
      </c>
      <c r="G6" s="166" t="s">
        <v>179</v>
      </c>
      <c r="X6" s="147" t="s">
        <v>162</v>
      </c>
      <c r="Y6" s="148" t="s">
        <v>143</v>
      </c>
      <c r="Z6" s="119"/>
    </row>
    <row r="7" spans="1:27" x14ac:dyDescent="0.15">
      <c r="C7" s="109" t="s">
        <v>120</v>
      </c>
      <c r="D7" s="109" t="s">
        <v>121</v>
      </c>
      <c r="E7" s="110">
        <v>0.29699999999999999</v>
      </c>
      <c r="F7" s="110">
        <v>3.3000000000000002E-2</v>
      </c>
      <c r="G7" s="110">
        <f>F7*E7</f>
        <v>9.8010000000000007E-3</v>
      </c>
      <c r="J7" s="130"/>
      <c r="K7" s="130"/>
      <c r="L7" s="130"/>
      <c r="X7" s="145" t="s">
        <v>144</v>
      </c>
      <c r="Y7" s="146">
        <v>75</v>
      </c>
      <c r="Z7" s="118"/>
    </row>
    <row r="8" spans="1:27" x14ac:dyDescent="0.15">
      <c r="C8" s="109" t="s">
        <v>120</v>
      </c>
      <c r="D8" s="109" t="s">
        <v>122</v>
      </c>
      <c r="E8" s="110">
        <v>0.314</v>
      </c>
      <c r="F8" s="110">
        <v>3.3000000000000002E-2</v>
      </c>
      <c r="G8" s="110">
        <f t="shared" ref="G8:G11" si="0">F8*E8</f>
        <v>1.0362E-2</v>
      </c>
      <c r="J8" s="124"/>
      <c r="K8" s="122"/>
      <c r="L8" s="122"/>
      <c r="X8" s="145" t="s">
        <v>145</v>
      </c>
      <c r="Y8" s="146">
        <v>55</v>
      </c>
      <c r="Z8" s="118"/>
    </row>
    <row r="9" spans="1:27" x14ac:dyDescent="0.15">
      <c r="C9" s="109" t="s">
        <v>128</v>
      </c>
      <c r="D9" s="109" t="s">
        <v>123</v>
      </c>
      <c r="E9" s="110">
        <v>0.42399999999999999</v>
      </c>
      <c r="F9" s="110">
        <v>6.5000000000000002E-2</v>
      </c>
      <c r="G9" s="110">
        <f t="shared" si="0"/>
        <v>2.7560000000000001E-2</v>
      </c>
      <c r="I9" s="119"/>
      <c r="J9" s="119"/>
      <c r="K9" s="119"/>
      <c r="L9" s="119"/>
      <c r="X9" s="145" t="s">
        <v>146</v>
      </c>
      <c r="Y9" s="146">
        <v>60</v>
      </c>
      <c r="Z9" s="118"/>
    </row>
    <row r="10" spans="1:27" x14ac:dyDescent="0.15">
      <c r="C10" s="109" t="s">
        <v>128</v>
      </c>
      <c r="D10" s="109" t="s">
        <v>124</v>
      </c>
      <c r="E10" s="110">
        <v>0.434</v>
      </c>
      <c r="F10" s="110">
        <v>6.3E-2</v>
      </c>
      <c r="G10" s="110">
        <f t="shared" si="0"/>
        <v>2.7342000000000002E-2</v>
      </c>
      <c r="I10" s="119"/>
      <c r="J10" s="119"/>
      <c r="K10" s="119"/>
      <c r="L10" s="119"/>
      <c r="O10" s="118"/>
      <c r="X10" s="149" t="s">
        <v>147</v>
      </c>
      <c r="Y10" s="150">
        <v>50</v>
      </c>
      <c r="Z10" s="118"/>
    </row>
    <row r="11" spans="1:27" x14ac:dyDescent="0.15">
      <c r="C11" s="109" t="s">
        <v>125</v>
      </c>
      <c r="D11" s="109" t="s">
        <v>126</v>
      </c>
      <c r="E11" s="110">
        <v>0.495</v>
      </c>
      <c r="F11" s="110">
        <v>5.1999999999999998E-2</v>
      </c>
      <c r="G11" s="110">
        <f t="shared" si="0"/>
        <v>2.5739999999999999E-2</v>
      </c>
      <c r="I11" s="118"/>
      <c r="J11" s="118"/>
      <c r="K11" s="118"/>
      <c r="L11" s="152"/>
    </row>
    <row r="12" spans="1:27" x14ac:dyDescent="0.15">
      <c r="E12" s="110"/>
      <c r="F12" s="110"/>
      <c r="G12" s="110"/>
      <c r="I12" s="118"/>
      <c r="J12" s="118"/>
      <c r="K12" s="118"/>
      <c r="L12" s="152"/>
    </row>
    <row r="13" spans="1:27" x14ac:dyDescent="0.15">
      <c r="C13" s="109" t="s">
        <v>131</v>
      </c>
      <c r="D13" s="109" t="s">
        <v>129</v>
      </c>
      <c r="E13" s="110">
        <v>0.378</v>
      </c>
      <c r="F13" s="110"/>
      <c r="G13" s="110"/>
      <c r="I13" s="118"/>
      <c r="J13" s="118"/>
      <c r="K13" s="118"/>
      <c r="L13" s="152"/>
    </row>
    <row r="14" spans="1:27" x14ac:dyDescent="0.15">
      <c r="C14" s="109" t="s">
        <v>130</v>
      </c>
      <c r="E14" s="110">
        <v>0.36</v>
      </c>
      <c r="F14" s="110"/>
      <c r="G14" s="110"/>
      <c r="I14" s="118"/>
      <c r="J14" s="118"/>
      <c r="K14" s="118"/>
      <c r="L14" s="152"/>
    </row>
    <row r="15" spans="1:27" x14ac:dyDescent="0.15">
      <c r="C15" s="109" t="s">
        <v>132</v>
      </c>
      <c r="D15" s="109" t="s">
        <v>54</v>
      </c>
      <c r="E15" s="110">
        <v>0.372</v>
      </c>
      <c r="F15" s="110">
        <v>0.04</v>
      </c>
      <c r="G15" s="110">
        <f t="shared" ref="G15:G16" si="1">F15*E15</f>
        <v>1.4880000000000001E-2</v>
      </c>
      <c r="J15" s="118"/>
    </row>
    <row r="16" spans="1:27" ht="16" x14ac:dyDescent="0.2">
      <c r="C16" s="109" t="s">
        <v>132</v>
      </c>
      <c r="D16" s="109" t="s">
        <v>56</v>
      </c>
      <c r="E16" s="110">
        <v>0.42199999999999999</v>
      </c>
      <c r="F16" s="110">
        <v>8.3000000000000004E-2</v>
      </c>
      <c r="G16" s="110">
        <f t="shared" si="1"/>
        <v>3.5026000000000002E-2</v>
      </c>
      <c r="J16" s="118"/>
      <c r="L16" s="118"/>
      <c r="S16" s="151"/>
    </row>
    <row r="17" spans="1:23" ht="14" thickBot="1" x14ac:dyDescent="0.2">
      <c r="C17" s="113"/>
      <c r="D17" s="113" t="s">
        <v>136</v>
      </c>
      <c r="E17" s="131">
        <f>AVERAGE(E7:E16)</f>
        <v>0.38844444444444443</v>
      </c>
      <c r="F17" s="131">
        <f>AVERAGE(F7:F16)</f>
        <v>5.2714285714285714E-2</v>
      </c>
      <c r="G17" s="131">
        <f>AVERAGE(G7:G16)</f>
        <v>2.1530142857142859E-2</v>
      </c>
      <c r="I17" s="132"/>
    </row>
    <row r="18" spans="1:23" ht="16" thickTop="1" x14ac:dyDescent="0.15">
      <c r="D18" s="165" t="s">
        <v>138</v>
      </c>
      <c r="F18" s="172">
        <v>0.05</v>
      </c>
      <c r="G18" s="172">
        <v>0.02</v>
      </c>
      <c r="H18" s="190"/>
      <c r="I18" s="168" t="s">
        <v>187</v>
      </c>
      <c r="J18" s="168" t="s">
        <v>184</v>
      </c>
      <c r="K18" s="168" t="s">
        <v>185</v>
      </c>
      <c r="L18" s="168" t="s">
        <v>186</v>
      </c>
    </row>
    <row r="19" spans="1:23" x14ac:dyDescent="0.15">
      <c r="D19" s="135" t="s">
        <v>137</v>
      </c>
      <c r="E19" s="124"/>
      <c r="F19" s="134">
        <v>0.05</v>
      </c>
      <c r="G19" s="134">
        <v>0.02</v>
      </c>
      <c r="H19" s="191"/>
      <c r="I19" s="136">
        <f>(1/((PI()/2)^2*(3/2)^4))*(12*(1-VlcVcl))</f>
        <v>0.94146142785887788</v>
      </c>
      <c r="J19" s="136">
        <f>PI()*(12*(1-G19)/126)^0.5</f>
        <v>0.95977240918616047</v>
      </c>
      <c r="K19" s="136">
        <f>4*F19/7</f>
        <v>2.8571428571428574E-2</v>
      </c>
      <c r="L19" s="136">
        <f>4*12*(1-G19)/42</f>
        <v>1.1199999999999999</v>
      </c>
    </row>
    <row r="20" spans="1:23" x14ac:dyDescent="0.15">
      <c r="O20" s="261" t="s">
        <v>160</v>
      </c>
      <c r="P20" s="261"/>
      <c r="Q20" s="261"/>
      <c r="R20" s="261"/>
      <c r="S20" s="261"/>
      <c r="T20" s="261"/>
      <c r="U20" s="261"/>
      <c r="V20" s="261"/>
      <c r="W20" s="261"/>
    </row>
    <row r="21" spans="1:23" x14ac:dyDescent="0.15">
      <c r="C21" s="261" t="s">
        <v>148</v>
      </c>
      <c r="D21" s="261"/>
      <c r="E21" s="261"/>
      <c r="O21" s="267" t="s">
        <v>163</v>
      </c>
      <c r="P21" s="268"/>
      <c r="Q21" s="167" t="s">
        <v>154</v>
      </c>
      <c r="R21" s="144" t="s">
        <v>149</v>
      </c>
      <c r="S21" s="128"/>
      <c r="T21" s="128"/>
      <c r="U21" s="269" t="s">
        <v>157</v>
      </c>
      <c r="V21" s="269"/>
      <c r="W21" s="269"/>
    </row>
    <row r="22" spans="1:23" ht="15" x14ac:dyDescent="0.15">
      <c r="A22" s="267" t="s">
        <v>153</v>
      </c>
      <c r="B22" s="268"/>
      <c r="C22" s="133" t="s">
        <v>8</v>
      </c>
      <c r="D22" s="133" t="s">
        <v>3</v>
      </c>
      <c r="E22" s="133" t="s">
        <v>180</v>
      </c>
      <c r="F22" s="133" t="s">
        <v>16</v>
      </c>
      <c r="G22" s="170" t="s">
        <v>170</v>
      </c>
      <c r="H22" s="168" t="s">
        <v>171</v>
      </c>
      <c r="I22" s="171" t="s">
        <v>172</v>
      </c>
      <c r="J22" s="168" t="s">
        <v>173</v>
      </c>
      <c r="K22" s="169" t="s">
        <v>169</v>
      </c>
      <c r="L22" s="168" t="s">
        <v>174</v>
      </c>
      <c r="M22" s="168" t="s">
        <v>175</v>
      </c>
      <c r="N22" s="168" t="s">
        <v>176</v>
      </c>
      <c r="O22" s="267" t="s">
        <v>188</v>
      </c>
      <c r="P22" s="270"/>
      <c r="Q22" s="168" t="s">
        <v>182</v>
      </c>
      <c r="R22" s="168" t="s">
        <v>183</v>
      </c>
      <c r="S22" s="168" t="s">
        <v>141</v>
      </c>
      <c r="T22" s="168" t="s">
        <v>140</v>
      </c>
      <c r="U22" s="167" t="s">
        <v>181</v>
      </c>
      <c r="V22" s="168" t="s">
        <v>156</v>
      </c>
      <c r="W22" s="168" t="s">
        <v>16</v>
      </c>
    </row>
    <row r="23" spans="1:23" s="127" customFormat="1" x14ac:dyDescent="0.15">
      <c r="A23" s="168" t="s">
        <v>81</v>
      </c>
      <c r="B23" s="168" t="s">
        <v>152</v>
      </c>
      <c r="C23" s="123" t="s">
        <v>64</v>
      </c>
      <c r="D23" s="123" t="s">
        <v>64</v>
      </c>
      <c r="E23" s="123" t="s">
        <v>64</v>
      </c>
      <c r="F23" s="123" t="s">
        <v>11</v>
      </c>
      <c r="G23" s="120" t="s">
        <v>43</v>
      </c>
      <c r="H23" s="129" t="s">
        <v>14</v>
      </c>
      <c r="I23" s="129" t="s">
        <v>14</v>
      </c>
      <c r="J23" s="129" t="s">
        <v>14</v>
      </c>
      <c r="K23" s="120" t="s">
        <v>1</v>
      </c>
      <c r="L23" s="120" t="s">
        <v>1</v>
      </c>
      <c r="M23" s="123"/>
      <c r="N23" s="120" t="s">
        <v>1</v>
      </c>
      <c r="O23" s="168" t="s">
        <v>142</v>
      </c>
      <c r="P23" s="168" t="s">
        <v>143</v>
      </c>
      <c r="Q23" s="123" t="s">
        <v>64</v>
      </c>
      <c r="R23" s="123" t="s">
        <v>64</v>
      </c>
      <c r="S23" s="123"/>
      <c r="T23" s="123"/>
      <c r="U23" s="123" t="s">
        <v>139</v>
      </c>
      <c r="V23" s="168" t="s">
        <v>158</v>
      </c>
      <c r="W23" s="168" t="s">
        <v>159</v>
      </c>
    </row>
    <row r="24" spans="1:23" s="127" customFormat="1" x14ac:dyDescent="0.15">
      <c r="A24" s="159"/>
      <c r="B24" s="164" t="s">
        <v>166</v>
      </c>
      <c r="C24" s="160"/>
      <c r="D24" s="160"/>
      <c r="E24" s="160"/>
      <c r="F24" s="160"/>
      <c r="G24" s="161"/>
      <c r="H24" s="162"/>
      <c r="I24" s="162"/>
      <c r="J24" s="162"/>
      <c r="K24" s="161"/>
      <c r="L24" s="161"/>
      <c r="N24" s="161"/>
      <c r="O24" s="163"/>
      <c r="P24" s="163"/>
      <c r="Q24" s="160"/>
      <c r="R24" s="160"/>
      <c r="U24" s="160"/>
      <c r="V24" s="163"/>
      <c r="W24" s="163"/>
    </row>
    <row r="25" spans="1:23" x14ac:dyDescent="0.15">
      <c r="A25" s="109">
        <v>1</v>
      </c>
      <c r="B25" s="118" t="s">
        <v>155</v>
      </c>
      <c r="C25" s="137">
        <v>0.60499999999999998</v>
      </c>
      <c r="D25" s="137">
        <v>0.23799999999999999</v>
      </c>
      <c r="E25" s="155">
        <v>4.0000000000000001E-3</v>
      </c>
      <c r="F25" s="137">
        <v>0.22800000000000001</v>
      </c>
      <c r="G25" s="153">
        <f t="shared" ref="G25:G34" si="2">F25/(C25*D25*E25)</f>
        <v>395.86082366831039</v>
      </c>
      <c r="H25" s="137">
        <v>61.6</v>
      </c>
      <c r="I25" s="156">
        <v>105</v>
      </c>
      <c r="J25" s="137">
        <v>38.200000000000003</v>
      </c>
      <c r="K25" s="139">
        <f t="shared" ref="K25:K34" si="3">Coef_1*G25*C25^4*H25^2/E25^2/10^9</f>
        <v>11.841534802061181</v>
      </c>
      <c r="L25" s="138">
        <f t="shared" ref="L25:L34" si="4">Coef_1*G25*D25^4*I25^2/E25^2/10^9</f>
        <v>0.82397018861362259</v>
      </c>
      <c r="M25" s="140">
        <f t="shared" ref="M25:M34" si="5">K25/L25</f>
        <v>14.371314600574625</v>
      </c>
      <c r="N25" s="138">
        <f t="shared" ref="N25:N34" si="6">(3*(1/(PI()/2)^2)*G25*C25^2*D25^2*J25^2/E25^2)/10^9</f>
        <v>0.91011323755879869</v>
      </c>
      <c r="O25" s="121" t="s">
        <v>144</v>
      </c>
      <c r="P25" s="140">
        <f>INDEX(Vib_Stiff2[],MATCH($O25,Vib_Stiff2[PanelType],0),2)</f>
        <v>75</v>
      </c>
      <c r="Q25" s="141">
        <v>0.49</v>
      </c>
      <c r="R25" s="141">
        <v>0.39</v>
      </c>
      <c r="S25" s="140">
        <f t="shared" ref="S25:S34" si="7">Coef_2*P25*Q25^2*G25^0.5</f>
        <v>343.86893725996288</v>
      </c>
      <c r="T25" s="142">
        <f t="shared" ref="T25:T34" si="8">(K25+(Q25/R25)^4*L25+(Q25/R25)^2*(Coef_3*K25+Coef_4*N25))*10^9</f>
        <v>16037915023.312202</v>
      </c>
      <c r="U25" s="158">
        <f t="shared" ref="U25:U34" si="9">S25/T25^0.5*1000</f>
        <v>2.7153073326029982</v>
      </c>
      <c r="V25" s="141">
        <v>0.14421500000000001</v>
      </c>
      <c r="W25" s="143">
        <f t="shared" ref="W25:W34" si="10">(V25*U25/1000)*G25*1000</f>
        <v>155.01436681274023</v>
      </c>
    </row>
    <row r="26" spans="1:23" x14ac:dyDescent="0.15">
      <c r="A26" s="109">
        <v>2</v>
      </c>
      <c r="B26" s="118" t="s">
        <v>155</v>
      </c>
      <c r="C26" s="137">
        <v>0.60499999999999998</v>
      </c>
      <c r="D26" s="137">
        <v>0.23799999999999999</v>
      </c>
      <c r="E26" s="155">
        <v>3.8999999999999998E-3</v>
      </c>
      <c r="F26" s="137">
        <v>0.224</v>
      </c>
      <c r="G26" s="153">
        <f t="shared" si="2"/>
        <v>398.88809942285883</v>
      </c>
      <c r="H26" s="156">
        <v>60</v>
      </c>
      <c r="I26" s="137">
        <v>107.8</v>
      </c>
      <c r="J26" s="137">
        <v>39.200000000000003</v>
      </c>
      <c r="K26" s="139">
        <f t="shared" si="3"/>
        <v>11.908262415587044</v>
      </c>
      <c r="L26" s="138">
        <f t="shared" si="4"/>
        <v>0.9205974062068133</v>
      </c>
      <c r="M26" s="140">
        <f t="shared" si="5"/>
        <v>12.935363857533876</v>
      </c>
      <c r="N26" s="138">
        <f t="shared" si="6"/>
        <v>1.0158747448070966</v>
      </c>
      <c r="O26" s="121" t="s">
        <v>144</v>
      </c>
      <c r="P26" s="140">
        <f>INDEX(Vib_Stiff2[],MATCH($O26,Vib_Stiff2[PanelType],0),2)</f>
        <v>75</v>
      </c>
      <c r="Q26" s="141">
        <v>0.49</v>
      </c>
      <c r="R26" s="141">
        <v>0.39</v>
      </c>
      <c r="S26" s="140">
        <f t="shared" si="7"/>
        <v>345.18127156873675</v>
      </c>
      <c r="T26" s="142">
        <f t="shared" si="8"/>
        <v>16535420715.669304</v>
      </c>
      <c r="U26" s="158">
        <f t="shared" si="9"/>
        <v>2.6843528356654205</v>
      </c>
      <c r="V26" s="141">
        <v>0.14421500000000001</v>
      </c>
      <c r="W26" s="143">
        <f t="shared" si="10"/>
        <v>154.41913434121932</v>
      </c>
    </row>
    <row r="27" spans="1:23" x14ac:dyDescent="0.15">
      <c r="A27" s="109">
        <v>3</v>
      </c>
      <c r="B27" s="118" t="s">
        <v>155</v>
      </c>
      <c r="C27" s="137">
        <v>0.55300000000000005</v>
      </c>
      <c r="D27" s="137">
        <v>0.216</v>
      </c>
      <c r="E27" s="137">
        <v>3.8500000000000001E-3</v>
      </c>
      <c r="F27" s="137">
        <v>0.16900000000000001</v>
      </c>
      <c r="G27" s="153">
        <f t="shared" si="2"/>
        <v>367.49132590000585</v>
      </c>
      <c r="H27" s="137">
        <v>67.8</v>
      </c>
      <c r="I27" s="137">
        <v>93.5</v>
      </c>
      <c r="J27" s="137">
        <v>49.6</v>
      </c>
      <c r="K27" s="139">
        <f t="shared" si="3"/>
        <v>10.034323032269954</v>
      </c>
      <c r="L27" s="138">
        <f t="shared" si="4"/>
        <v>0.44418755998795373</v>
      </c>
      <c r="M27" s="140">
        <f t="shared" si="5"/>
        <v>22.590283781342464</v>
      </c>
      <c r="N27" s="138">
        <f t="shared" si="6"/>
        <v>1.0581037466404024</v>
      </c>
      <c r="O27" s="121" t="s">
        <v>144</v>
      </c>
      <c r="P27" s="140">
        <f>INDEX(Vib_Stiff2[],MATCH($O27,Vib_Stiff2[PanelType],0),2)</f>
        <v>75</v>
      </c>
      <c r="Q27" s="141">
        <v>0.49</v>
      </c>
      <c r="R27" s="141">
        <v>0.39</v>
      </c>
      <c r="S27" s="140">
        <f t="shared" si="7"/>
        <v>331.31815234973772</v>
      </c>
      <c r="T27" s="142">
        <f t="shared" si="8"/>
        <v>13464470947.615932</v>
      </c>
      <c r="U27" s="158">
        <f t="shared" si="9"/>
        <v>2.8552923646887609</v>
      </c>
      <c r="V27" s="141">
        <v>0.14421500000000001</v>
      </c>
      <c r="W27" s="143">
        <f t="shared" si="10"/>
        <v>151.32410394119586</v>
      </c>
    </row>
    <row r="28" spans="1:23" x14ac:dyDescent="0.15">
      <c r="A28" s="109">
        <v>4</v>
      </c>
      <c r="B28" s="118" t="s">
        <v>155</v>
      </c>
      <c r="C28" s="137">
        <v>0.55300000000000005</v>
      </c>
      <c r="D28" s="137">
        <v>0.216</v>
      </c>
      <c r="E28" s="137">
        <v>4.0499999999999998E-3</v>
      </c>
      <c r="F28" s="137">
        <v>0.17799999999999999</v>
      </c>
      <c r="G28" s="153">
        <f t="shared" si="2"/>
        <v>367.94770346887861</v>
      </c>
      <c r="H28" s="137">
        <v>70.400000000000006</v>
      </c>
      <c r="I28" s="137">
        <v>105.8</v>
      </c>
      <c r="J28" s="137">
        <v>49.8</v>
      </c>
      <c r="K28" s="139">
        <f t="shared" si="3"/>
        <v>9.7886866236976804</v>
      </c>
      <c r="L28" s="138">
        <f t="shared" si="4"/>
        <v>0.51459424112422114</v>
      </c>
      <c r="M28" s="140">
        <f t="shared" si="5"/>
        <v>19.022145685720428</v>
      </c>
      <c r="N28" s="138">
        <f t="shared" si="6"/>
        <v>0.96510374596213266</v>
      </c>
      <c r="O28" s="121" t="s">
        <v>144</v>
      </c>
      <c r="P28" s="140">
        <f>INDEX(Vib_Stiff2[],MATCH($O28,Vib_Stiff2[PanelType],0),2)</f>
        <v>75</v>
      </c>
      <c r="Q28" s="141">
        <v>0.49</v>
      </c>
      <c r="R28" s="141">
        <v>0.39</v>
      </c>
      <c r="S28" s="140">
        <f t="shared" si="7"/>
        <v>331.52381605748974</v>
      </c>
      <c r="T28" s="142">
        <f t="shared" si="8"/>
        <v>13218776859.351173</v>
      </c>
      <c r="U28" s="158">
        <f t="shared" si="9"/>
        <v>2.8834942984979963</v>
      </c>
      <c r="V28" s="141">
        <v>0.14421500000000001</v>
      </c>
      <c r="W28" s="143">
        <f t="shared" si="10"/>
        <v>153.00852478169986</v>
      </c>
    </row>
    <row r="29" spans="1:23" x14ac:dyDescent="0.15">
      <c r="A29" s="109">
        <v>5</v>
      </c>
      <c r="B29" s="118" t="s">
        <v>155</v>
      </c>
      <c r="C29" s="137">
        <v>0.59499999999999997</v>
      </c>
      <c r="D29" s="154">
        <v>0.23</v>
      </c>
      <c r="E29" s="155">
        <v>3.7000000000000002E-3</v>
      </c>
      <c r="F29" s="137">
        <v>0.191</v>
      </c>
      <c r="G29" s="153">
        <f t="shared" si="2"/>
        <v>377.21316493695008</v>
      </c>
      <c r="H29" s="137">
        <v>58.2</v>
      </c>
      <c r="I29" s="156">
        <v>102</v>
      </c>
      <c r="J29" s="156">
        <v>49</v>
      </c>
      <c r="K29" s="139">
        <f t="shared" si="3"/>
        <v>11.01285083669009</v>
      </c>
      <c r="L29" s="138">
        <f t="shared" si="4"/>
        <v>0.75526196183217542</v>
      </c>
      <c r="M29" s="140">
        <f t="shared" si="5"/>
        <v>14.581498067206017</v>
      </c>
      <c r="N29" s="138">
        <f t="shared" si="6"/>
        <v>1.5064220275977183</v>
      </c>
      <c r="O29" s="121" t="s">
        <v>144</v>
      </c>
      <c r="P29" s="140">
        <f>INDEX(Vib_Stiff2[],MATCH($O29,Vib_Stiff2[PanelType],0),2)</f>
        <v>75</v>
      </c>
      <c r="Q29" s="141">
        <v>0.49</v>
      </c>
      <c r="R29" s="141">
        <v>0.39</v>
      </c>
      <c r="S29" s="140">
        <f t="shared" si="7"/>
        <v>335.67199148516113</v>
      </c>
      <c r="T29" s="142">
        <f t="shared" si="8"/>
        <v>16054914465.191151</v>
      </c>
      <c r="U29" s="158">
        <f t="shared" si="9"/>
        <v>2.6491778004825655</v>
      </c>
      <c r="V29" s="141">
        <v>0.14421500000000001</v>
      </c>
      <c r="W29" s="143">
        <f t="shared" si="10"/>
        <v>144.11473345416525</v>
      </c>
    </row>
    <row r="30" spans="1:23" x14ac:dyDescent="0.15">
      <c r="A30" s="109">
        <v>6</v>
      </c>
      <c r="B30" s="118" t="s">
        <v>155</v>
      </c>
      <c r="C30" s="137">
        <v>0.59499999999999997</v>
      </c>
      <c r="D30" s="154">
        <v>0.23</v>
      </c>
      <c r="E30" s="155">
        <v>3.8500000000000001E-3</v>
      </c>
      <c r="F30" s="137">
        <v>0.20100000000000001</v>
      </c>
      <c r="G30" s="153">
        <f t="shared" si="2"/>
        <v>381.4964721066292</v>
      </c>
      <c r="H30" s="156">
        <v>66</v>
      </c>
      <c r="I30" s="156">
        <v>100</v>
      </c>
      <c r="J30" s="156">
        <v>46</v>
      </c>
      <c r="K30" s="139">
        <f t="shared" si="3"/>
        <v>13.22900963017049</v>
      </c>
      <c r="L30" s="138">
        <f t="shared" si="4"/>
        <v>0.67808313461840986</v>
      </c>
      <c r="M30" s="140">
        <f t="shared" si="5"/>
        <v>19.509421418680606</v>
      </c>
      <c r="N30" s="138">
        <f t="shared" si="6"/>
        <v>1.240097507678309</v>
      </c>
      <c r="O30" s="121" t="s">
        <v>144</v>
      </c>
      <c r="P30" s="140">
        <f>INDEX(Vib_Stiff2[],MATCH($O30,Vib_Stiff2[PanelType],0),2)</f>
        <v>75</v>
      </c>
      <c r="Q30" s="141">
        <v>0.49</v>
      </c>
      <c r="R30" s="141">
        <v>0.39</v>
      </c>
      <c r="S30" s="140">
        <f t="shared" si="7"/>
        <v>337.57241255512878</v>
      </c>
      <c r="T30" s="142">
        <f t="shared" si="8"/>
        <v>17707846065.042938</v>
      </c>
      <c r="U30" s="158">
        <f t="shared" si="9"/>
        <v>2.5367874386832931</v>
      </c>
      <c r="V30" s="141">
        <v>0.14421500000000001</v>
      </c>
      <c r="W30" s="143">
        <f t="shared" si="10"/>
        <v>139.56773772480426</v>
      </c>
    </row>
    <row r="31" spans="1:23" x14ac:dyDescent="0.15">
      <c r="A31" s="109">
        <v>7</v>
      </c>
      <c r="B31" s="118" t="s">
        <v>155</v>
      </c>
      <c r="C31" s="137">
        <v>0.59399999999999997</v>
      </c>
      <c r="D31" s="154">
        <v>0.221</v>
      </c>
      <c r="E31" s="155">
        <v>3.7499999999999999E-3</v>
      </c>
      <c r="F31" s="137">
        <v>0.156</v>
      </c>
      <c r="G31" s="153">
        <f t="shared" si="2"/>
        <v>316.89443454149335</v>
      </c>
      <c r="H31" s="156">
        <v>52</v>
      </c>
      <c r="I31" s="156">
        <v>115.7</v>
      </c>
      <c r="J31" s="156">
        <v>43.1</v>
      </c>
      <c r="K31" s="139">
        <f t="shared" si="3"/>
        <v>7.1417899881201805</v>
      </c>
      <c r="L31" s="138">
        <f t="shared" si="4"/>
        <v>0.67747054946663599</v>
      </c>
      <c r="M31" s="140">
        <f t="shared" si="5"/>
        <v>10.541845684277821</v>
      </c>
      <c r="N31" s="138">
        <f t="shared" si="6"/>
        <v>0.87709281795742622</v>
      </c>
      <c r="O31" s="121" t="s">
        <v>144</v>
      </c>
      <c r="P31" s="140">
        <f>INDEX(Vib_Stiff2[],MATCH($O31,Vib_Stiff2[PanelType],0),2)</f>
        <v>75</v>
      </c>
      <c r="Q31" s="141">
        <v>0.49</v>
      </c>
      <c r="R31" s="141">
        <v>0.39</v>
      </c>
      <c r="S31" s="140">
        <f t="shared" si="7"/>
        <v>307.66563528699305</v>
      </c>
      <c r="T31" s="142">
        <f t="shared" si="8"/>
        <v>10702764344.509609</v>
      </c>
      <c r="U31" s="158">
        <f t="shared" si="9"/>
        <v>2.9739318278063736</v>
      </c>
      <c r="V31" s="141">
        <v>0.14421500000000001</v>
      </c>
      <c r="W31" s="143">
        <f t="shared" si="10"/>
        <v>135.91145289668327</v>
      </c>
    </row>
    <row r="32" spans="1:23" x14ac:dyDescent="0.15">
      <c r="A32" s="109">
        <v>8</v>
      </c>
      <c r="B32" s="118" t="s">
        <v>155</v>
      </c>
      <c r="C32" s="137">
        <v>0.59399999999999997</v>
      </c>
      <c r="D32" s="154">
        <v>0.221</v>
      </c>
      <c r="E32" s="155">
        <v>3.7000000000000002E-3</v>
      </c>
      <c r="F32" s="137">
        <v>0.152</v>
      </c>
      <c r="G32" s="153">
        <f t="shared" si="2"/>
        <v>312.9414894120776</v>
      </c>
      <c r="H32" s="156">
        <v>50</v>
      </c>
      <c r="I32" s="156">
        <v>107.6</v>
      </c>
      <c r="J32" s="156">
        <v>40.799999999999997</v>
      </c>
      <c r="K32" s="139">
        <f t="shared" si="3"/>
        <v>6.6980443239118435</v>
      </c>
      <c r="L32" s="138">
        <f t="shared" si="4"/>
        <v>0.5943686109409686</v>
      </c>
      <c r="M32" s="140">
        <f t="shared" si="5"/>
        <v>11.269175728018178</v>
      </c>
      <c r="N32" s="138">
        <f t="shared" si="6"/>
        <v>0.79729485441210612</v>
      </c>
      <c r="O32" s="121" t="s">
        <v>144</v>
      </c>
      <c r="P32" s="140">
        <f>INDEX(Vib_Stiff2[],MATCH($O32,Vib_Stiff2[PanelType],0),2)</f>
        <v>75</v>
      </c>
      <c r="Q32" s="141">
        <v>0.49</v>
      </c>
      <c r="R32" s="141">
        <v>0.39</v>
      </c>
      <c r="S32" s="140">
        <f t="shared" si="7"/>
        <v>305.74070104959344</v>
      </c>
      <c r="T32" s="142">
        <f t="shared" si="8"/>
        <v>9890843054.0141087</v>
      </c>
      <c r="U32" s="158">
        <f t="shared" si="9"/>
        <v>3.0742317372579797</v>
      </c>
      <c r="V32" s="141">
        <v>0.14421500000000001</v>
      </c>
      <c r="W32" s="143">
        <f t="shared" si="10"/>
        <v>138.74271259798721</v>
      </c>
    </row>
    <row r="33" spans="1:23" x14ac:dyDescent="0.15">
      <c r="A33" s="109">
        <v>9</v>
      </c>
      <c r="B33" s="118" t="s">
        <v>155</v>
      </c>
      <c r="C33" s="137">
        <v>0.55700000000000005</v>
      </c>
      <c r="D33" s="154">
        <v>0.224</v>
      </c>
      <c r="E33" s="155">
        <v>4.1000000000000003E-3</v>
      </c>
      <c r="F33" s="154">
        <v>0.19</v>
      </c>
      <c r="G33" s="153">
        <f t="shared" si="2"/>
        <v>371.42106481336674</v>
      </c>
      <c r="H33" s="156">
        <v>70.7</v>
      </c>
      <c r="I33" s="156">
        <v>140.80000000000001</v>
      </c>
      <c r="J33" s="156">
        <v>56.1</v>
      </c>
      <c r="K33" s="139">
        <f t="shared" si="3"/>
        <v>10.008314797678278</v>
      </c>
      <c r="L33" s="138">
        <f t="shared" si="4"/>
        <v>1.0382423305785671</v>
      </c>
      <c r="M33" s="140">
        <f t="shared" si="5"/>
        <v>9.6396713011124113</v>
      </c>
      <c r="N33" s="138">
        <f t="shared" si="6"/>
        <v>1.3161714545274006</v>
      </c>
      <c r="O33" s="121" t="s">
        <v>144</v>
      </c>
      <c r="P33" s="140">
        <f>INDEX(Vib_Stiff2[],MATCH($O33,Vib_Stiff2[PanelType],0),2)</f>
        <v>75</v>
      </c>
      <c r="Q33" s="141">
        <v>0.49</v>
      </c>
      <c r="R33" s="141">
        <v>0.39</v>
      </c>
      <c r="S33" s="140">
        <f t="shared" si="7"/>
        <v>333.08490375268838</v>
      </c>
      <c r="T33" s="142">
        <f t="shared" si="8"/>
        <v>15373861043.23031</v>
      </c>
      <c r="U33" s="158">
        <f t="shared" si="9"/>
        <v>2.6863554347247369</v>
      </c>
      <c r="V33" s="141">
        <v>0.14421500000000001</v>
      </c>
      <c r="W33" s="143">
        <f t="shared" si="10"/>
        <v>143.89325576284668</v>
      </c>
    </row>
    <row r="34" spans="1:23" x14ac:dyDescent="0.15">
      <c r="A34" s="109">
        <v>10</v>
      </c>
      <c r="B34" s="118" t="s">
        <v>155</v>
      </c>
      <c r="C34" s="137">
        <v>0.55700000000000005</v>
      </c>
      <c r="D34" s="154">
        <v>0.224</v>
      </c>
      <c r="E34" s="155">
        <v>4.4000000000000003E-3</v>
      </c>
      <c r="F34" s="137">
        <v>0.20300000000000001</v>
      </c>
      <c r="G34" s="153">
        <f t="shared" si="2"/>
        <v>369.77721560306838</v>
      </c>
      <c r="H34" s="156">
        <v>75.7</v>
      </c>
      <c r="I34" s="156">
        <v>144.9</v>
      </c>
      <c r="J34" s="156">
        <v>58.4</v>
      </c>
      <c r="K34" s="139">
        <f t="shared" si="3"/>
        <v>9.9185883485319835</v>
      </c>
      <c r="L34" s="138">
        <f t="shared" si="4"/>
        <v>0.95053074929251802</v>
      </c>
      <c r="M34" s="140">
        <f t="shared" si="5"/>
        <v>10.434789569842332</v>
      </c>
      <c r="N34" s="138">
        <f t="shared" si="6"/>
        <v>1.2329583803933899</v>
      </c>
      <c r="O34" s="121" t="s">
        <v>144</v>
      </c>
      <c r="P34" s="140">
        <f>INDEX(Vib_Stiff2[],MATCH($O34,Vib_Stiff2[PanelType],0),2)</f>
        <v>75</v>
      </c>
      <c r="Q34" s="141">
        <v>0.49</v>
      </c>
      <c r="R34" s="141">
        <v>0.39</v>
      </c>
      <c r="S34" s="140">
        <f t="shared" si="7"/>
        <v>332.34699658405344</v>
      </c>
      <c r="T34" s="142">
        <f t="shared" si="8"/>
        <v>14914401367.819639</v>
      </c>
      <c r="U34" s="158">
        <f t="shared" si="9"/>
        <v>2.721377847401937</v>
      </c>
      <c r="V34" s="141">
        <v>0.14421500000000001</v>
      </c>
      <c r="W34" s="143">
        <f t="shared" si="10"/>
        <v>145.12406257177554</v>
      </c>
    </row>
    <row r="35" spans="1:23" x14ac:dyDescent="0.15">
      <c r="B35" s="119" t="s">
        <v>136</v>
      </c>
      <c r="G35" s="152">
        <f>AVERAGE(G25:G34)</f>
        <v>365.99317938736391</v>
      </c>
      <c r="K35" s="122">
        <f>AVERAGE(K25:K34)</f>
        <v>10.158140479871873</v>
      </c>
      <c r="L35" s="122">
        <f>AVERAGE(L25:L34)</f>
        <v>0.73973067326618858</v>
      </c>
      <c r="M35" s="152">
        <f>AVERAGE(M25:M34)</f>
        <v>14.489550969430875</v>
      </c>
      <c r="N35" s="122">
        <f>AVERAGE(N25:N34)</f>
        <v>1.091923251753478</v>
      </c>
      <c r="U35" s="122">
        <f>AVERAGE(U25:U34)</f>
        <v>2.778030891781206</v>
      </c>
      <c r="W35" s="157">
        <f>AVERAGE(W25:W34)</f>
        <v>146.11200848851178</v>
      </c>
    </row>
    <row r="36" spans="1:23" x14ac:dyDescent="0.15">
      <c r="A36" s="109">
        <v>11</v>
      </c>
      <c r="B36" s="118" t="s">
        <v>164</v>
      </c>
      <c r="C36" s="137">
        <v>0.60199999999999998</v>
      </c>
      <c r="D36" s="154">
        <v>0.28299999999999997</v>
      </c>
      <c r="E36" s="155">
        <v>3.8E-3</v>
      </c>
      <c r="F36" s="154">
        <v>0.27</v>
      </c>
      <c r="G36" s="153">
        <f>F36/(C36*D36*E36)</f>
        <v>417.05875338358231</v>
      </c>
      <c r="H36" s="156">
        <v>59.6</v>
      </c>
      <c r="I36" s="156">
        <v>57</v>
      </c>
      <c r="J36" s="156">
        <v>25.7</v>
      </c>
      <c r="K36" s="139">
        <f>Coef_1*G36*C36^4*H36^2/E36^2/10^9</f>
        <v>12.685601469582064</v>
      </c>
      <c r="L36" s="138">
        <f>Coef_1*G36*D36^4*I36^2/E36^2/10^9</f>
        <v>0.56666714391908102</v>
      </c>
      <c r="M36" s="140">
        <f>K36/L36</f>
        <v>22.386336680556767</v>
      </c>
      <c r="N36" s="138">
        <f>(3*(1/(PI()/2)^2)*G36*C36^2*D36^2*J36^2/E36^2)/10^9</f>
        <v>0.6731992886730449</v>
      </c>
      <c r="O36" s="121" t="s">
        <v>144</v>
      </c>
      <c r="P36" s="140">
        <f>INDEX(Vib_Stiff2[],MATCH($O36,Vib_Stiff2[PanelType],0),2)</f>
        <v>75</v>
      </c>
      <c r="Q36" s="141">
        <v>0.49</v>
      </c>
      <c r="R36" s="141">
        <v>0.39</v>
      </c>
      <c r="S36" s="140">
        <f>Coef_2*P36*Q36^2*G36^0.5</f>
        <v>352.95578531719252</v>
      </c>
      <c r="T36" s="142">
        <f>(K36+(Q36/R36)^4*L36+(Q36/R36)^2*(Coef_3*K36+Coef_4*N36))*10^9</f>
        <v>15860021599.794121</v>
      </c>
      <c r="U36" s="158">
        <f>S36/T36^0.5*1000</f>
        <v>2.8026471085414255</v>
      </c>
      <c r="V36" s="141">
        <v>0.14421500000000001</v>
      </c>
      <c r="W36" s="143">
        <f>(V36*U36/1000)*G36*1000</f>
        <v>168.56837206327538</v>
      </c>
    </row>
    <row r="37" spans="1:23" x14ac:dyDescent="0.15">
      <c r="A37" s="109">
        <v>12</v>
      </c>
      <c r="B37" s="118" t="s">
        <v>164</v>
      </c>
      <c r="C37" s="137">
        <v>0.60199999999999998</v>
      </c>
      <c r="D37" s="154">
        <v>0.28299999999999997</v>
      </c>
      <c r="E37" s="155">
        <v>3.8E-3</v>
      </c>
      <c r="F37" s="154">
        <v>0.26700000000000002</v>
      </c>
      <c r="G37" s="153">
        <f>F37/(C37*D37*E37)</f>
        <v>412.42476723487584</v>
      </c>
      <c r="H37" s="156">
        <v>58.4</v>
      </c>
      <c r="I37" s="156">
        <v>57</v>
      </c>
      <c r="J37" s="156">
        <v>26.6</v>
      </c>
      <c r="K37" s="139">
        <f>Coef_1*G37*C37^4*H37^2/E37^2/10^9</f>
        <v>12.044582077073304</v>
      </c>
      <c r="L37" s="138">
        <f>Coef_1*G37*D37^4*I37^2/E37^2/10^9</f>
        <v>0.56037084231998002</v>
      </c>
      <c r="M37" s="140">
        <f>K37/L37</f>
        <v>21.493948591628666</v>
      </c>
      <c r="N37" s="138">
        <f>(3*(1/(PI()/2)^2)*G37*C37^2*D37^2*J37^2/E37^2)/10^9</f>
        <v>0.71316196382351615</v>
      </c>
      <c r="O37" s="121" t="s">
        <v>144</v>
      </c>
      <c r="P37" s="140">
        <f>INDEX(Vib_Stiff2[],MATCH($O37,Vib_Stiff2[PanelType],0),2)</f>
        <v>75</v>
      </c>
      <c r="Q37" s="141">
        <v>0.49</v>
      </c>
      <c r="R37" s="141">
        <v>0.39</v>
      </c>
      <c r="S37" s="140">
        <f>Coef_2*P37*Q37^2*G37^0.5</f>
        <v>350.98944252261072</v>
      </c>
      <c r="T37" s="142">
        <f>(K37+(Q37/R37)^4*L37+(Q37/R37)^2*(Coef_3*K37+Coef_4*N37))*10^9</f>
        <v>15245055226.458605</v>
      </c>
      <c r="U37" s="158">
        <f>S37/T37^0.5*1000</f>
        <v>2.8426903318788694</v>
      </c>
      <c r="V37" s="141">
        <v>0.14421500000000001</v>
      </c>
      <c r="W37" s="143">
        <f>(V37*U37/1000)*G37*1000</f>
        <v>169.07707449438624</v>
      </c>
    </row>
    <row r="38" spans="1:23" x14ac:dyDescent="0.15">
      <c r="B38" s="119" t="s">
        <v>136</v>
      </c>
      <c r="G38" s="152">
        <f>AVERAGE(G36:G37)</f>
        <v>414.74176030922911</v>
      </c>
      <c r="K38" s="122">
        <f>AVERAGE(K36:K37)</f>
        <v>12.365091773327684</v>
      </c>
      <c r="L38" s="122">
        <f>AVERAGE(L36:L37)</f>
        <v>0.56351899311953058</v>
      </c>
      <c r="M38" s="152">
        <f>AVERAGE(M36:M37)</f>
        <v>21.940142636092716</v>
      </c>
      <c r="N38" s="122">
        <f>AVERAGE(N36:N37)</f>
        <v>0.69318062624828047</v>
      </c>
      <c r="U38" s="122">
        <f>AVERAGE(U36:U37)</f>
        <v>2.8226687202101477</v>
      </c>
      <c r="W38" s="157">
        <f>AVERAGE(W36:W37)</f>
        <v>168.82272327883081</v>
      </c>
    </row>
    <row r="40" spans="1:23" x14ac:dyDescent="0.15">
      <c r="A40" s="109">
        <v>13</v>
      </c>
      <c r="B40" s="118" t="s">
        <v>165</v>
      </c>
      <c r="C40" s="154">
        <v>0.59</v>
      </c>
      <c r="D40" s="154">
        <v>0.23599999999999999</v>
      </c>
      <c r="E40" s="155">
        <v>4.3E-3</v>
      </c>
      <c r="F40" s="154">
        <v>0.19400000000000001</v>
      </c>
      <c r="G40" s="153">
        <f t="shared" ref="G40:G47" si="11">F40/(C40*D40*E40)</f>
        <v>324.01809156684465</v>
      </c>
      <c r="H40" s="156">
        <v>56.5</v>
      </c>
      <c r="I40" s="156">
        <v>118.6</v>
      </c>
      <c r="J40" s="156">
        <v>44</v>
      </c>
      <c r="K40" s="139">
        <f t="shared" ref="K40:K47" si="12">Coef_1*G40*C40^4*H40^2/E40^2/10^9</f>
        <v>6.381750517177788</v>
      </c>
      <c r="L40" s="138">
        <f t="shared" ref="L40:L47" si="13">Coef_1*G40*D40^4*I40^2/E40^2/10^9</f>
        <v>0.71986700794668745</v>
      </c>
      <c r="M40" s="140">
        <f t="shared" ref="M40:M47" si="14">K40/L40</f>
        <v>8.865179882851935</v>
      </c>
      <c r="N40" s="138">
        <f t="shared" ref="N40:N47" si="15">(3*(1/(PI()/2)^2)*G40*C40^2*D40^2*J40^2/E40^2)/10^9</f>
        <v>0.79973707776147251</v>
      </c>
      <c r="O40" s="121" t="s">
        <v>144</v>
      </c>
      <c r="P40" s="140">
        <f>INDEX(Vib_Stiff2[],MATCH($O40,Vib_Stiff2[PanelType],0),2)</f>
        <v>75</v>
      </c>
      <c r="Q40" s="141">
        <v>0.49</v>
      </c>
      <c r="R40" s="141">
        <v>0.39</v>
      </c>
      <c r="S40" s="140">
        <f t="shared" ref="S40:S47" si="16">Coef_2*P40*Q40^2*G40^0.5</f>
        <v>311.1045152411175</v>
      </c>
      <c r="T40" s="142">
        <f t="shared" ref="T40:T47" si="17">(K40+(Q40/R40)^4*L40+(Q40/R40)^2*(Coef_3*K40+Coef_4*N40))*10^9</f>
        <v>9877327689.6655045</v>
      </c>
      <c r="U40" s="158">
        <f t="shared" ref="U40:U47" si="18">S40/T40^0.5*1000</f>
        <v>3.130304483488755</v>
      </c>
      <c r="V40" s="141">
        <v>0.14421500000000001</v>
      </c>
      <c r="W40" s="143">
        <f t="shared" ref="W40:W47" si="19">(V40*U40/1000)*G40*1000</f>
        <v>146.27371019211969</v>
      </c>
    </row>
    <row r="41" spans="1:23" x14ac:dyDescent="0.15">
      <c r="A41" s="109">
        <v>14</v>
      </c>
      <c r="B41" s="118" t="s">
        <v>165</v>
      </c>
      <c r="C41" s="154">
        <v>0.59</v>
      </c>
      <c r="D41" s="154">
        <v>0.23599999999999999</v>
      </c>
      <c r="E41" s="155">
        <v>4.4999999999999997E-3</v>
      </c>
      <c r="F41" s="154">
        <v>0.20399999999999999</v>
      </c>
      <c r="G41" s="153">
        <f t="shared" si="11"/>
        <v>325.57694149190854</v>
      </c>
      <c r="H41" s="156">
        <v>58</v>
      </c>
      <c r="I41" s="156">
        <v>127.2</v>
      </c>
      <c r="J41" s="156">
        <v>46</v>
      </c>
      <c r="K41" s="139">
        <f t="shared" si="12"/>
        <v>6.1701422502316321</v>
      </c>
      <c r="L41" s="138">
        <f t="shared" si="13"/>
        <v>0.75971968141536483</v>
      </c>
      <c r="M41" s="140">
        <f t="shared" si="14"/>
        <v>8.1216037983070279</v>
      </c>
      <c r="N41" s="138">
        <f t="shared" si="15"/>
        <v>0.80196202674226258</v>
      </c>
      <c r="O41" s="121" t="s">
        <v>144</v>
      </c>
      <c r="P41" s="140">
        <f>INDEX(Vib_Stiff2[],MATCH($O41,Vib_Stiff2[PanelType],0),2)</f>
        <v>75</v>
      </c>
      <c r="Q41" s="141">
        <v>0.49</v>
      </c>
      <c r="R41" s="141">
        <v>0.39</v>
      </c>
      <c r="S41" s="140">
        <f t="shared" si="16"/>
        <v>311.85197868566189</v>
      </c>
      <c r="T41" s="142">
        <f t="shared" si="17"/>
        <v>9759416982.6668396</v>
      </c>
      <c r="U41" s="158">
        <f t="shared" si="18"/>
        <v>3.1567236711948921</v>
      </c>
      <c r="V41" s="141">
        <v>0.14421500000000001</v>
      </c>
      <c r="W41" s="143">
        <f t="shared" si="19"/>
        <v>148.21789470656546</v>
      </c>
    </row>
    <row r="42" spans="1:23" x14ac:dyDescent="0.15">
      <c r="A42" s="109">
        <v>15</v>
      </c>
      <c r="B42" s="118" t="s">
        <v>165</v>
      </c>
      <c r="C42" s="137">
        <v>0.59499999999999997</v>
      </c>
      <c r="D42" s="154">
        <v>0.23599999999999999</v>
      </c>
      <c r="E42" s="155">
        <v>4.45E-3</v>
      </c>
      <c r="F42" s="154">
        <v>0.21</v>
      </c>
      <c r="G42" s="153">
        <f t="shared" si="11"/>
        <v>336.0704403643004</v>
      </c>
      <c r="H42" s="156">
        <v>57.2</v>
      </c>
      <c r="I42" s="156">
        <v>134.9</v>
      </c>
      <c r="J42" s="156">
        <v>32</v>
      </c>
      <c r="K42" s="139">
        <f t="shared" si="12"/>
        <v>6.5519827455111637</v>
      </c>
      <c r="L42" s="138">
        <f t="shared" si="13"/>
        <v>0.90195472035197899</v>
      </c>
      <c r="M42" s="140">
        <f t="shared" si="14"/>
        <v>7.2642036209470877</v>
      </c>
      <c r="N42" s="138">
        <f t="shared" si="15"/>
        <v>0.41662918370706942</v>
      </c>
      <c r="O42" s="121" t="s">
        <v>144</v>
      </c>
      <c r="P42" s="140">
        <f>INDEX(Vib_Stiff2[],MATCH($O42,Vib_Stiff2[PanelType],0),2)</f>
        <v>75</v>
      </c>
      <c r="Q42" s="141">
        <v>0.49</v>
      </c>
      <c r="R42" s="141">
        <v>0.39</v>
      </c>
      <c r="S42" s="140">
        <f t="shared" si="16"/>
        <v>316.83769270360011</v>
      </c>
      <c r="T42" s="142">
        <f t="shared" si="17"/>
        <v>9831644415.5999718</v>
      </c>
      <c r="U42" s="158">
        <f t="shared" si="18"/>
        <v>3.1953891818760694</v>
      </c>
      <c r="V42" s="141">
        <v>0.14421500000000001</v>
      </c>
      <c r="W42" s="143">
        <f t="shared" si="19"/>
        <v>154.86900563397137</v>
      </c>
    </row>
    <row r="43" spans="1:23" x14ac:dyDescent="0.15">
      <c r="A43" s="109">
        <v>16</v>
      </c>
      <c r="B43" s="118" t="s">
        <v>165</v>
      </c>
      <c r="C43" s="137">
        <v>0.59399999999999997</v>
      </c>
      <c r="D43" s="154">
        <v>0.23599999999999999</v>
      </c>
      <c r="E43" s="155">
        <v>4.3E-3</v>
      </c>
      <c r="F43" s="154">
        <v>0.20300000000000001</v>
      </c>
      <c r="G43" s="153">
        <f t="shared" si="11"/>
        <v>336.76669466972982</v>
      </c>
      <c r="H43" s="156">
        <v>54.7</v>
      </c>
      <c r="I43" s="156">
        <v>122.7</v>
      </c>
      <c r="J43" s="156">
        <v>32</v>
      </c>
      <c r="K43" s="139">
        <f t="shared" si="12"/>
        <v>6.3872687118167866</v>
      </c>
      <c r="L43" s="138">
        <f t="shared" si="13"/>
        <v>0.80081443341676462</v>
      </c>
      <c r="M43" s="140">
        <f t="shared" si="14"/>
        <v>7.975966023195646</v>
      </c>
      <c r="N43" s="138">
        <f t="shared" si="15"/>
        <v>0.44562605608228417</v>
      </c>
      <c r="O43" s="121" t="s">
        <v>144</v>
      </c>
      <c r="P43" s="140">
        <f>INDEX(Vib_Stiff2[],MATCH($O43,Vib_Stiff2[PanelType],0),2)</f>
        <v>75</v>
      </c>
      <c r="Q43" s="141">
        <v>0.49</v>
      </c>
      <c r="R43" s="141">
        <v>0.39</v>
      </c>
      <c r="S43" s="140">
        <f t="shared" si="16"/>
        <v>317.16572730962042</v>
      </c>
      <c r="T43" s="142">
        <f t="shared" si="17"/>
        <v>9458739039.7672939</v>
      </c>
      <c r="U43" s="158">
        <f t="shared" si="18"/>
        <v>3.2611413997263328</v>
      </c>
      <c r="V43" s="141">
        <v>0.14421500000000001</v>
      </c>
      <c r="W43" s="143">
        <f t="shared" si="19"/>
        <v>158.38323106440711</v>
      </c>
    </row>
    <row r="44" spans="1:23" x14ac:dyDescent="0.15">
      <c r="A44" s="109">
        <v>17</v>
      </c>
      <c r="B44" s="118" t="s">
        <v>165</v>
      </c>
      <c r="C44" s="154">
        <v>0.56000000000000005</v>
      </c>
      <c r="D44" s="154">
        <v>0.20200000000000001</v>
      </c>
      <c r="E44" s="155">
        <v>5.0000000000000001E-3</v>
      </c>
      <c r="F44" s="154">
        <v>0.20799999999999999</v>
      </c>
      <c r="G44" s="153">
        <f t="shared" si="11"/>
        <v>367.75106082036768</v>
      </c>
      <c r="H44" s="156">
        <v>76.5</v>
      </c>
      <c r="I44" s="156">
        <v>162.80000000000001</v>
      </c>
      <c r="J44" s="156">
        <v>60.4</v>
      </c>
      <c r="K44" s="139">
        <f t="shared" si="12"/>
        <v>7.970607716227371</v>
      </c>
      <c r="L44" s="138">
        <f t="shared" si="13"/>
        <v>0.61112596472644265</v>
      </c>
      <c r="M44" s="140">
        <f t="shared" si="14"/>
        <v>13.042495616751028</v>
      </c>
      <c r="N44" s="138">
        <f t="shared" si="15"/>
        <v>0.83492621321236205</v>
      </c>
      <c r="O44" s="121" t="s">
        <v>144</v>
      </c>
      <c r="P44" s="140">
        <f>INDEX(Vib_Stiff2[],MATCH($O44,Vib_Stiff2[PanelType],0),2)</f>
        <v>75</v>
      </c>
      <c r="Q44" s="141">
        <v>0.49</v>
      </c>
      <c r="R44" s="141">
        <v>0.39</v>
      </c>
      <c r="S44" s="140">
        <f t="shared" si="16"/>
        <v>331.43521592074978</v>
      </c>
      <c r="T44" s="142">
        <f t="shared" si="17"/>
        <v>11329090722.327438</v>
      </c>
      <c r="U44" s="158">
        <f t="shared" si="18"/>
        <v>3.1138746379335855</v>
      </c>
      <c r="V44" s="141">
        <v>0.14421500000000001</v>
      </c>
      <c r="W44" s="143">
        <f t="shared" si="19"/>
        <v>165.14502409687964</v>
      </c>
    </row>
    <row r="45" spans="1:23" x14ac:dyDescent="0.15">
      <c r="A45" s="109">
        <v>18</v>
      </c>
      <c r="B45" s="118" t="s">
        <v>165</v>
      </c>
      <c r="C45" s="137">
        <v>0.55900000000000005</v>
      </c>
      <c r="D45" s="154">
        <v>0.187</v>
      </c>
      <c r="E45" s="155">
        <v>5.4000000000000003E-3</v>
      </c>
      <c r="F45" s="154">
        <v>0.20300000000000001</v>
      </c>
      <c r="G45" s="153">
        <f t="shared" si="11"/>
        <v>359.62416263373848</v>
      </c>
      <c r="H45" s="156">
        <v>72.5</v>
      </c>
      <c r="I45" s="156">
        <v>194</v>
      </c>
      <c r="J45" s="156">
        <v>75.599999999999994</v>
      </c>
      <c r="K45" s="139">
        <f t="shared" si="12"/>
        <v>5.9591884588025748</v>
      </c>
      <c r="L45" s="138">
        <f t="shared" si="13"/>
        <v>0.53435977890295616</v>
      </c>
      <c r="M45" s="140">
        <f t="shared" si="14"/>
        <v>11.152015353844229</v>
      </c>
      <c r="N45" s="138">
        <f t="shared" si="15"/>
        <v>0.936468696093259</v>
      </c>
      <c r="O45" s="121" t="s">
        <v>144</v>
      </c>
      <c r="P45" s="140">
        <f>INDEX(Vib_Stiff2[],MATCH($O45,Vib_Stiff2[PanelType],0),2)</f>
        <v>75</v>
      </c>
      <c r="Q45" s="141">
        <v>0.49</v>
      </c>
      <c r="R45" s="141">
        <v>0.39</v>
      </c>
      <c r="S45" s="140">
        <f t="shared" si="16"/>
        <v>327.75257791450451</v>
      </c>
      <c r="T45" s="142">
        <f t="shared" si="17"/>
        <v>9215187616.6986847</v>
      </c>
      <c r="U45" s="158">
        <f t="shared" si="18"/>
        <v>3.4142398378983727</v>
      </c>
      <c r="V45" s="141">
        <v>0.14421500000000001</v>
      </c>
      <c r="W45" s="143">
        <f t="shared" si="19"/>
        <v>177.0733988295213</v>
      </c>
    </row>
    <row r="46" spans="1:23" x14ac:dyDescent="0.15">
      <c r="A46" s="109">
        <v>19</v>
      </c>
      <c r="B46" s="118" t="s">
        <v>165</v>
      </c>
      <c r="C46" s="137">
        <v>0.59299999999999997</v>
      </c>
      <c r="D46" s="154">
        <v>0.223</v>
      </c>
      <c r="E46" s="155">
        <v>4.3E-3</v>
      </c>
      <c r="F46" s="154">
        <v>0.192</v>
      </c>
      <c r="G46" s="153">
        <f t="shared" si="11"/>
        <v>337.65502454417896</v>
      </c>
      <c r="H46" s="156">
        <v>56.5</v>
      </c>
      <c r="I46" s="156">
        <v>140.1</v>
      </c>
      <c r="J46" s="156">
        <v>41.6</v>
      </c>
      <c r="K46" s="139">
        <f t="shared" si="12"/>
        <v>6.7866352123405331</v>
      </c>
      <c r="L46" s="138">
        <f t="shared" si="13"/>
        <v>0.83451579255333308</v>
      </c>
      <c r="M46" s="140">
        <f t="shared" si="14"/>
        <v>8.1324227449018665</v>
      </c>
      <c r="N46" s="138">
        <f t="shared" si="15"/>
        <v>0.67192930160685549</v>
      </c>
      <c r="O46" s="121" t="s">
        <v>144</v>
      </c>
      <c r="P46" s="140">
        <f>INDEX(Vib_Stiff2[],MATCH($O46,Vib_Stiff2[PanelType],0),2)</f>
        <v>75</v>
      </c>
      <c r="Q46" s="141">
        <v>0.49</v>
      </c>
      <c r="R46" s="141">
        <v>0.39</v>
      </c>
      <c r="S46" s="140">
        <f t="shared" si="16"/>
        <v>317.58376484101524</v>
      </c>
      <c r="T46" s="142">
        <f t="shared" si="17"/>
        <v>10360200183.205925</v>
      </c>
      <c r="U46" s="158">
        <f t="shared" si="18"/>
        <v>3.1201409923077739</v>
      </c>
      <c r="V46" s="141">
        <v>0.14421500000000001</v>
      </c>
      <c r="W46" s="143">
        <f t="shared" si="19"/>
        <v>151.93501402673104</v>
      </c>
    </row>
    <row r="47" spans="1:23" x14ac:dyDescent="0.15">
      <c r="A47" s="109">
        <v>20</v>
      </c>
      <c r="B47" s="118" t="s">
        <v>165</v>
      </c>
      <c r="C47" s="137">
        <v>0.59299999999999997</v>
      </c>
      <c r="D47" s="154">
        <v>0.223</v>
      </c>
      <c r="E47" s="155">
        <v>4.2500000000000003E-3</v>
      </c>
      <c r="F47" s="154">
        <v>0.191</v>
      </c>
      <c r="G47" s="153">
        <f t="shared" si="11"/>
        <v>339.84812703202709</v>
      </c>
      <c r="H47" s="156">
        <v>55.2</v>
      </c>
      <c r="I47" s="156">
        <v>139</v>
      </c>
      <c r="J47" s="156">
        <v>41.2</v>
      </c>
      <c r="K47" s="139">
        <f t="shared" si="12"/>
        <v>6.6743116398290727</v>
      </c>
      <c r="L47" s="138">
        <f t="shared" si="13"/>
        <v>0.8463667720650988</v>
      </c>
      <c r="M47" s="140">
        <f t="shared" si="14"/>
        <v>7.8858384569422988</v>
      </c>
      <c r="N47" s="138">
        <f t="shared" si="15"/>
        <v>0.67905048890348307</v>
      </c>
      <c r="O47" s="121" t="s">
        <v>144</v>
      </c>
      <c r="P47" s="140">
        <f>INDEX(Vib_Stiff2[],MATCH($O47,Vib_Stiff2[PanelType],0),2)</f>
        <v>75</v>
      </c>
      <c r="Q47" s="141">
        <v>0.49</v>
      </c>
      <c r="R47" s="141">
        <v>0.39</v>
      </c>
      <c r="S47" s="140">
        <f t="shared" si="16"/>
        <v>318.61346439145467</v>
      </c>
      <c r="T47" s="142">
        <f t="shared" si="17"/>
        <v>10284931960.122404</v>
      </c>
      <c r="U47" s="158">
        <f t="shared" si="18"/>
        <v>3.1416906053902975</v>
      </c>
      <c r="V47" s="141">
        <v>0.14421500000000001</v>
      </c>
      <c r="W47" s="143">
        <f t="shared" si="19"/>
        <v>153.97801918427569</v>
      </c>
    </row>
    <row r="48" spans="1:23" x14ac:dyDescent="0.15">
      <c r="G48" s="152">
        <f>AVERAGE(G40:G47)</f>
        <v>340.91381789038695</v>
      </c>
      <c r="K48" s="122">
        <f>AVERAGE(K40:K47)</f>
        <v>6.6102359064921155</v>
      </c>
      <c r="L48" s="122">
        <f>AVERAGE(L40:L47)</f>
        <v>0.75109051892232825</v>
      </c>
      <c r="M48" s="152">
        <f>AVERAGE(M40:M47)</f>
        <v>9.0549656872176385</v>
      </c>
      <c r="N48" s="122">
        <f>AVERAGE(N40:N47)</f>
        <v>0.69829113051363101</v>
      </c>
      <c r="U48" s="122">
        <f>AVERAGE(U40:U47)</f>
        <v>3.19168810122701</v>
      </c>
      <c r="W48" s="157">
        <f>AVERAGE(W40:W47)</f>
        <v>156.98441221680895</v>
      </c>
    </row>
    <row r="49" spans="1:23" x14ac:dyDescent="0.15">
      <c r="B49" s="119" t="s">
        <v>167</v>
      </c>
    </row>
    <row r="50" spans="1:23" x14ac:dyDescent="0.15">
      <c r="A50" s="109">
        <v>21</v>
      </c>
      <c r="B50" s="118" t="s">
        <v>168</v>
      </c>
      <c r="C50" s="137">
        <v>0.56799999999999995</v>
      </c>
      <c r="D50" s="154">
        <v>0.218</v>
      </c>
      <c r="E50" s="155">
        <v>3.8999999999999998E-3</v>
      </c>
      <c r="F50" s="154">
        <v>0.39800000000000002</v>
      </c>
      <c r="G50" s="153">
        <f t="shared" ref="G50:G56" si="20">F50/(C50*D50*E50)</f>
        <v>824.16399123984093</v>
      </c>
      <c r="H50" s="156">
        <v>48.5</v>
      </c>
      <c r="I50" s="156">
        <v>129</v>
      </c>
      <c r="J50" s="156">
        <v>40.700000000000003</v>
      </c>
      <c r="K50" s="139">
        <f t="shared" ref="K50:K57" si="21">Coef_1*G50*C50^4*H50^2/E50^2/10^9</f>
        <v>12.490038388247502</v>
      </c>
      <c r="L50" s="138">
        <f t="shared" ref="L50:L57" si="22">Coef_1*G50*D50^4*I50^2/E50^2/10^9</f>
        <v>1.9173100474785869</v>
      </c>
      <c r="M50" s="140">
        <f t="shared" ref="M50:M57" si="23">K50/L50</f>
        <v>6.5143550489775413</v>
      </c>
      <c r="N50" s="138">
        <f t="shared" ref="N50:N57" si="24">(3*(1/(PI()/2)^2)*G50*C50^2*D50^2*J50^2/E50^2)/10^9</f>
        <v>1.6732637381569715</v>
      </c>
      <c r="O50" s="121" t="s">
        <v>145</v>
      </c>
      <c r="P50" s="140">
        <f>INDEX(Vib_Stiff2[],MATCH($O50,Vib_Stiff2[PanelType],0),2)</f>
        <v>55</v>
      </c>
      <c r="Q50" s="141">
        <v>0.49</v>
      </c>
      <c r="R50" s="141">
        <v>0.39</v>
      </c>
      <c r="S50" s="140">
        <f t="shared" ref="S50:S57" si="25">Coef_2*P50*Q50^2*G50^0.5</f>
        <v>363.85632471208146</v>
      </c>
      <c r="T50" s="142">
        <f t="shared" ref="T50:T57" si="26">(K50+(Q50/R50)^4*L50+(Q50/R50)^2*(Coef_3*K50+Coef_4*N50))*10^9</f>
        <v>20789377424.968559</v>
      </c>
      <c r="U50" s="158">
        <f t="shared" ref="U50:U57" si="27">S50/T50^0.5*1000</f>
        <v>2.5235341515952552</v>
      </c>
      <c r="V50" s="141">
        <v>0.14421500000000001</v>
      </c>
      <c r="W50" s="143">
        <f t="shared" ref="W50:W57" si="28">(V50*U50/1000)*G50*1000</f>
        <v>299.93921917622384</v>
      </c>
    </row>
    <row r="51" spans="1:23" x14ac:dyDescent="0.15">
      <c r="A51" s="109">
        <v>22</v>
      </c>
      <c r="B51" s="118" t="s">
        <v>168</v>
      </c>
      <c r="C51" s="137">
        <v>0.56899999999999995</v>
      </c>
      <c r="D51" s="154">
        <v>0.22600000000000001</v>
      </c>
      <c r="E51" s="155">
        <v>4.0000000000000001E-3</v>
      </c>
      <c r="F51" s="154">
        <v>0.41399999999999998</v>
      </c>
      <c r="G51" s="153">
        <f t="shared" si="20"/>
        <v>804.8587025833242</v>
      </c>
      <c r="H51" s="156">
        <v>51</v>
      </c>
      <c r="I51" s="156">
        <v>130.9</v>
      </c>
      <c r="J51" s="156">
        <v>43.9</v>
      </c>
      <c r="K51" s="139">
        <f t="shared" si="21"/>
        <v>12.911943316520734</v>
      </c>
      <c r="L51" s="138">
        <f t="shared" si="22"/>
        <v>2.1169726281029346</v>
      </c>
      <c r="M51" s="140">
        <f t="shared" si="23"/>
        <v>6.0992490621342652</v>
      </c>
      <c r="N51" s="138">
        <f t="shared" si="24"/>
        <v>1.9491785066450227</v>
      </c>
      <c r="O51" s="121" t="s">
        <v>145</v>
      </c>
      <c r="P51" s="140">
        <f>INDEX(Vib_Stiff2[],MATCH($O51,Vib_Stiff2[PanelType],0),2)</f>
        <v>55</v>
      </c>
      <c r="Q51" s="141">
        <v>0.49</v>
      </c>
      <c r="R51" s="141">
        <v>0.39</v>
      </c>
      <c r="S51" s="140">
        <f t="shared" si="25"/>
        <v>359.56957162063293</v>
      </c>
      <c r="T51" s="142">
        <f t="shared" si="26"/>
        <v>22215660708.91486</v>
      </c>
      <c r="U51" s="158">
        <f t="shared" si="27"/>
        <v>2.4124221963046173</v>
      </c>
      <c r="V51" s="141">
        <v>0.14421500000000001</v>
      </c>
      <c r="W51" s="143">
        <f t="shared" si="28"/>
        <v>280.01635254092173</v>
      </c>
    </row>
    <row r="52" spans="1:23" x14ac:dyDescent="0.15">
      <c r="A52" s="109">
        <v>23</v>
      </c>
      <c r="B52" s="118" t="s">
        <v>168</v>
      </c>
      <c r="C52" s="137">
        <v>0.55200000000000005</v>
      </c>
      <c r="D52" s="154">
        <v>0.221</v>
      </c>
      <c r="E52" s="155">
        <v>3.3999999999999998E-3</v>
      </c>
      <c r="F52" s="154">
        <v>0.30199999999999999</v>
      </c>
      <c r="G52" s="153">
        <f t="shared" si="20"/>
        <v>728.10946137258748</v>
      </c>
      <c r="H52" s="156">
        <v>43.3</v>
      </c>
      <c r="I52" s="156">
        <v>129.1</v>
      </c>
      <c r="J52" s="156">
        <v>36</v>
      </c>
      <c r="K52" s="139">
        <f t="shared" si="21"/>
        <v>10.322228661927056</v>
      </c>
      <c r="L52" s="138">
        <f t="shared" si="22"/>
        <v>2.357561068237743</v>
      </c>
      <c r="M52" s="140">
        <f t="shared" si="23"/>
        <v>4.3783504915284484</v>
      </c>
      <c r="N52" s="138">
        <f t="shared" si="24"/>
        <v>1.4770256775862942</v>
      </c>
      <c r="O52" s="121" t="s">
        <v>145</v>
      </c>
      <c r="P52" s="140">
        <f>INDEX(Vib_Stiff2[],MATCH($O52,Vib_Stiff2[PanelType],0),2)</f>
        <v>55</v>
      </c>
      <c r="Q52" s="141">
        <v>0.49</v>
      </c>
      <c r="R52" s="141">
        <v>0.39</v>
      </c>
      <c r="S52" s="140">
        <f t="shared" si="25"/>
        <v>341.99633172251822</v>
      </c>
      <c r="T52" s="142">
        <f t="shared" si="26"/>
        <v>19273897088.275204</v>
      </c>
      <c r="U52" s="158">
        <f t="shared" si="27"/>
        <v>2.4634098857109126</v>
      </c>
      <c r="V52" s="141">
        <v>0.14421500000000001</v>
      </c>
      <c r="W52" s="143">
        <f t="shared" si="28"/>
        <v>258.66864537326308</v>
      </c>
    </row>
    <row r="53" spans="1:23" x14ac:dyDescent="0.15">
      <c r="A53" s="109">
        <v>24</v>
      </c>
      <c r="B53" s="118" t="s">
        <v>168</v>
      </c>
      <c r="C53" s="137">
        <v>0.55200000000000005</v>
      </c>
      <c r="D53" s="154">
        <v>0.221</v>
      </c>
      <c r="E53" s="155">
        <v>3.3999999999999998E-3</v>
      </c>
      <c r="F53" s="154">
        <v>0.29899999999999999</v>
      </c>
      <c r="G53" s="153">
        <f t="shared" si="20"/>
        <v>720.87658592848891</v>
      </c>
      <c r="H53" s="156">
        <v>43.8</v>
      </c>
      <c r="I53" s="156">
        <v>128</v>
      </c>
      <c r="J53" s="156">
        <v>38.9</v>
      </c>
      <c r="K53" s="139">
        <f t="shared" si="21"/>
        <v>10.457073225385541</v>
      </c>
      <c r="L53" s="138">
        <f t="shared" si="22"/>
        <v>2.2945348131052721</v>
      </c>
      <c r="M53" s="140">
        <f t="shared" si="23"/>
        <v>4.5573826841326621</v>
      </c>
      <c r="N53" s="138">
        <f t="shared" si="24"/>
        <v>1.7074440909587487</v>
      </c>
      <c r="O53" s="121" t="s">
        <v>145</v>
      </c>
      <c r="P53" s="140">
        <f>INDEX(Vib_Stiff2[],MATCH($O53,Vib_Stiff2[PanelType],0),2)</f>
        <v>55</v>
      </c>
      <c r="Q53" s="141">
        <v>0.49</v>
      </c>
      <c r="R53" s="141">
        <v>0.39</v>
      </c>
      <c r="S53" s="140">
        <f t="shared" si="25"/>
        <v>340.29343484211131</v>
      </c>
      <c r="T53" s="142">
        <f t="shared" si="26"/>
        <v>19665148522.596359</v>
      </c>
      <c r="U53" s="158">
        <f t="shared" si="27"/>
        <v>2.4266377816865794</v>
      </c>
      <c r="V53" s="141">
        <v>0.14421500000000001</v>
      </c>
      <c r="W53" s="143">
        <f t="shared" si="28"/>
        <v>252.27621661327137</v>
      </c>
    </row>
    <row r="54" spans="1:23" x14ac:dyDescent="0.15">
      <c r="A54" s="109">
        <v>25</v>
      </c>
      <c r="B54" s="118" t="s">
        <v>168</v>
      </c>
      <c r="C54" s="137">
        <v>0.61299999999999999</v>
      </c>
      <c r="D54" s="154">
        <v>0.221</v>
      </c>
      <c r="E54" s="155">
        <v>3.8E-3</v>
      </c>
      <c r="F54" s="154">
        <v>0.40899999999999997</v>
      </c>
      <c r="G54" s="153">
        <f t="shared" si="20"/>
        <v>794.48730704545119</v>
      </c>
      <c r="H54" s="156">
        <v>50.3</v>
      </c>
      <c r="I54" s="156">
        <v>124.2</v>
      </c>
      <c r="J54" s="156">
        <v>38.4</v>
      </c>
      <c r="K54" s="139">
        <f t="shared" si="21"/>
        <v>18.505472124502749</v>
      </c>
      <c r="L54" s="138">
        <f t="shared" si="22"/>
        <v>1.9060513116250704</v>
      </c>
      <c r="M54" s="140">
        <f t="shared" si="23"/>
        <v>9.70880060344507</v>
      </c>
      <c r="N54" s="138">
        <f t="shared" si="24"/>
        <v>1.8103778015412106</v>
      </c>
      <c r="O54" s="121" t="s">
        <v>145</v>
      </c>
      <c r="P54" s="140">
        <f>INDEX(Vib_Stiff2[],MATCH($O54,Vib_Stiff2[PanelType],0),2)</f>
        <v>55</v>
      </c>
      <c r="Q54" s="141">
        <v>0.49</v>
      </c>
      <c r="R54" s="141">
        <v>0.39</v>
      </c>
      <c r="S54" s="140">
        <f t="shared" si="25"/>
        <v>357.24535620418476</v>
      </c>
      <c r="T54" s="142">
        <f t="shared" si="26"/>
        <v>27290480295.797997</v>
      </c>
      <c r="U54" s="158">
        <f t="shared" si="27"/>
        <v>2.1625243316125706</v>
      </c>
      <c r="V54" s="141">
        <v>0.14421500000000001</v>
      </c>
      <c r="W54" s="143">
        <f t="shared" si="28"/>
        <v>247.7755221991298</v>
      </c>
    </row>
    <row r="55" spans="1:23" x14ac:dyDescent="0.15">
      <c r="A55" s="109">
        <v>26</v>
      </c>
      <c r="B55" s="118" t="s">
        <v>168</v>
      </c>
      <c r="C55" s="137">
        <v>0.61299999999999999</v>
      </c>
      <c r="D55" s="154">
        <v>0.221</v>
      </c>
      <c r="E55" s="155">
        <v>3.8E-3</v>
      </c>
      <c r="F55" s="154">
        <v>0.40600000000000003</v>
      </c>
      <c r="G55" s="153">
        <f t="shared" si="20"/>
        <v>788.65977178594926</v>
      </c>
      <c r="H55" s="156">
        <v>42.7</v>
      </c>
      <c r="I55" s="156">
        <v>113</v>
      </c>
      <c r="J55" s="156">
        <v>33.799999999999997</v>
      </c>
      <c r="K55" s="139">
        <f t="shared" si="21"/>
        <v>13.238009094251284</v>
      </c>
      <c r="L55" s="138">
        <f t="shared" si="22"/>
        <v>1.5662136645660985</v>
      </c>
      <c r="M55" s="140">
        <f t="shared" si="23"/>
        <v>8.4522370055548723</v>
      </c>
      <c r="N55" s="138">
        <f t="shared" si="24"/>
        <v>1.3923322836988559</v>
      </c>
      <c r="O55" s="121" t="s">
        <v>145</v>
      </c>
      <c r="P55" s="140">
        <f>INDEX(Vib_Stiff2[],MATCH($O55,Vib_Stiff2[PanelType],0),2)</f>
        <v>55</v>
      </c>
      <c r="Q55" s="141">
        <v>0.49</v>
      </c>
      <c r="R55" s="141">
        <v>0.39</v>
      </c>
      <c r="S55" s="140">
        <f t="shared" si="25"/>
        <v>355.9327540089941</v>
      </c>
      <c r="T55" s="142">
        <f t="shared" si="26"/>
        <v>20199510130.119453</v>
      </c>
      <c r="U55" s="158">
        <f t="shared" si="27"/>
        <v>2.5043644849340589</v>
      </c>
      <c r="V55" s="141">
        <v>0.14421500000000001</v>
      </c>
      <c r="W55" s="143">
        <f t="shared" si="28"/>
        <v>284.83782401207685</v>
      </c>
    </row>
    <row r="56" spans="1:23" x14ac:dyDescent="0.15">
      <c r="A56" s="109">
        <v>27</v>
      </c>
      <c r="B56" s="118" t="s">
        <v>168</v>
      </c>
      <c r="C56" s="137">
        <v>0.60699999999999998</v>
      </c>
      <c r="D56" s="154">
        <v>0.218</v>
      </c>
      <c r="E56" s="155">
        <v>4.6499999999999996E-3</v>
      </c>
      <c r="F56" s="154">
        <v>0.48599999999999999</v>
      </c>
      <c r="G56" s="153">
        <f t="shared" si="20"/>
        <v>789.8381953074836</v>
      </c>
      <c r="H56" s="156">
        <v>54.4</v>
      </c>
      <c r="I56" s="156">
        <v>146.6</v>
      </c>
      <c r="J56" s="156">
        <v>49.2</v>
      </c>
      <c r="K56" s="139">
        <f t="shared" si="21"/>
        <v>13.816158952392035</v>
      </c>
      <c r="L56" s="138">
        <f t="shared" si="22"/>
        <v>1.6692780103705795</v>
      </c>
      <c r="M56" s="140">
        <f t="shared" si="23"/>
        <v>8.2767273435326985</v>
      </c>
      <c r="N56" s="138">
        <f t="shared" si="24"/>
        <v>1.8824970376978623</v>
      </c>
      <c r="O56" s="121" t="s">
        <v>145</v>
      </c>
      <c r="P56" s="140">
        <f>INDEX(Vib_Stiff2[],MATCH($O56,Vib_Stiff2[PanelType],0),2)</f>
        <v>55</v>
      </c>
      <c r="Q56" s="141">
        <v>0.49</v>
      </c>
      <c r="R56" s="141">
        <v>0.39</v>
      </c>
      <c r="S56" s="140">
        <f t="shared" si="25"/>
        <v>356.19857393454737</v>
      </c>
      <c r="T56" s="142">
        <f t="shared" si="26"/>
        <v>21927167609.360458</v>
      </c>
      <c r="U56" s="158">
        <f t="shared" si="27"/>
        <v>2.4054753355539749</v>
      </c>
      <c r="V56" s="141">
        <v>0.14421500000000001</v>
      </c>
      <c r="W56" s="143">
        <f t="shared" si="28"/>
        <v>273.99931320029509</v>
      </c>
    </row>
    <row r="57" spans="1:23" x14ac:dyDescent="0.15">
      <c r="A57" s="109">
        <v>28</v>
      </c>
      <c r="B57" s="118" t="s">
        <v>168</v>
      </c>
      <c r="C57" s="137">
        <v>0.60599999999999998</v>
      </c>
      <c r="D57" s="154">
        <v>0.218</v>
      </c>
      <c r="E57" s="155">
        <v>4.6499999999999996E-3</v>
      </c>
      <c r="F57" s="154">
        <v>0.48899999999999999</v>
      </c>
      <c r="G57" s="153">
        <f>F57/(C57*D57*E57)</f>
        <v>796.02514853438583</v>
      </c>
      <c r="H57" s="156">
        <v>55</v>
      </c>
      <c r="I57" s="156">
        <v>148.30000000000001</v>
      </c>
      <c r="J57" s="156">
        <v>51.2</v>
      </c>
      <c r="K57" s="139">
        <f t="shared" si="21"/>
        <v>14.139670522112649</v>
      </c>
      <c r="L57" s="138">
        <f t="shared" si="22"/>
        <v>1.7215977667246734</v>
      </c>
      <c r="M57" s="140">
        <f t="shared" si="23"/>
        <v>8.2131092380616089</v>
      </c>
      <c r="N57" s="138">
        <f t="shared" si="24"/>
        <v>2.0478613092045683</v>
      </c>
      <c r="O57" s="121" t="s">
        <v>145</v>
      </c>
      <c r="P57" s="140">
        <f>INDEX(Vib_Stiff2[],MATCH($O57,Vib_Stiff2[PanelType],0),2)</f>
        <v>55</v>
      </c>
      <c r="Q57" s="141">
        <v>0.49</v>
      </c>
      <c r="R57" s="141">
        <v>0.39</v>
      </c>
      <c r="S57" s="140">
        <f t="shared" si="25"/>
        <v>357.59093827256521</v>
      </c>
      <c r="T57" s="142">
        <f t="shared" si="26"/>
        <v>22688007514.447426</v>
      </c>
      <c r="U57" s="158">
        <f t="shared" si="27"/>
        <v>2.3740416073730088</v>
      </c>
      <c r="V57" s="141">
        <v>0.14421500000000001</v>
      </c>
      <c r="W57" s="143">
        <f t="shared" si="28"/>
        <v>272.53704884854551</v>
      </c>
    </row>
    <row r="58" spans="1:23" x14ac:dyDescent="0.15">
      <c r="G58" s="152">
        <f>AVERAGE(G50:G57)</f>
        <v>780.87739547468902</v>
      </c>
      <c r="K58" s="122">
        <f t="shared" ref="K58:N58" si="29">AVERAGE(K50:K57)</f>
        <v>13.235074285667443</v>
      </c>
      <c r="L58" s="122">
        <f t="shared" si="29"/>
        <v>1.9436899137763697</v>
      </c>
      <c r="M58" s="152">
        <f t="shared" si="29"/>
        <v>7.0250264346708953</v>
      </c>
      <c r="N58" s="122">
        <f t="shared" si="29"/>
        <v>1.7424975556861917</v>
      </c>
      <c r="U58" s="122">
        <f>AVERAGE(U50:U57)</f>
        <v>2.4090512218463722</v>
      </c>
      <c r="W58" s="157">
        <f>AVERAGE(W50:W57)</f>
        <v>271.25626774546595</v>
      </c>
    </row>
    <row r="60" spans="1:23" x14ac:dyDescent="0.15">
      <c r="B60" s="260" t="s">
        <v>265</v>
      </c>
      <c r="C60" s="109">
        <v>0.5575</v>
      </c>
      <c r="D60" s="109">
        <v>0.2205</v>
      </c>
      <c r="E60" s="109">
        <v>4.8500000000000001E-3</v>
      </c>
      <c r="F60" s="109">
        <v>0.20799999999999999</v>
      </c>
      <c r="G60" s="153">
        <f>F60/(C60*D60*E60)</f>
        <v>348.87361937825227</v>
      </c>
      <c r="H60" s="109">
        <v>67.400000000000006</v>
      </c>
      <c r="I60" s="109">
        <v>117.5</v>
      </c>
      <c r="J60" s="109">
        <v>54.8</v>
      </c>
      <c r="K60" s="139">
        <f t="shared" ref="K60" si="30">Coef_1*G60*C60^4*H60^2/E60^2/10^9</f>
        <v>6.1275443748904177</v>
      </c>
      <c r="L60" s="138">
        <f t="shared" ref="L60" si="31">Coef_1*G60*D60^4*I60^2/E60^2/10^9</f>
        <v>0.45571916558324194</v>
      </c>
      <c r="M60" s="140">
        <f t="shared" ref="M60" si="32">K60/L60</f>
        <v>13.445878158422891</v>
      </c>
      <c r="N60" s="138">
        <f t="shared" ref="N60" si="33">(3*(1/(PI()/2)^2)*G60*C60^2*D60^2*J60^2/E60^2)/10^9</f>
        <v>0.81834079619638811</v>
      </c>
      <c r="O60" s="121" t="s">
        <v>146</v>
      </c>
      <c r="P60" s="140">
        <f>INDEX(Vib_Stiff2[],MATCH($O60,Vib_Stiff2[PanelType],0),2)</f>
        <v>60</v>
      </c>
      <c r="Q60" s="109">
        <v>0.49</v>
      </c>
      <c r="R60" s="109">
        <v>0.39</v>
      </c>
      <c r="S60" s="140">
        <f t="shared" ref="S60" si="34">Coef_2*P60*Q60^2*G60^0.5</f>
        <v>258.25321505789361</v>
      </c>
      <c r="T60" s="142">
        <f t="shared" ref="T60" si="35">(K60+(Q60/R60)^4*L60+(Q60/R60)^2*(Coef_3*K60+Coef_4*N60))*10^9</f>
        <v>8986324784.4693947</v>
      </c>
      <c r="U60" s="158">
        <f t="shared" ref="U60" si="36">S60/T60^0.5*1000</f>
        <v>2.72429843832326</v>
      </c>
    </row>
    <row r="66" spans="9:15" x14ac:dyDescent="0.15">
      <c r="I66"/>
      <c r="J66"/>
      <c r="K66"/>
      <c r="L66"/>
      <c r="M66"/>
      <c r="N66"/>
      <c r="O66"/>
    </row>
    <row r="79" spans="9:15" x14ac:dyDescent="0.15">
      <c r="I79"/>
      <c r="J79"/>
      <c r="K79"/>
      <c r="L79"/>
      <c r="M79"/>
      <c r="N79"/>
      <c r="O79"/>
    </row>
    <row r="80" spans="9:15" x14ac:dyDescent="0.15">
      <c r="I80"/>
      <c r="M80"/>
      <c r="N80"/>
      <c r="O80"/>
    </row>
    <row r="81" spans="9:15" x14ac:dyDescent="0.15">
      <c r="I81"/>
      <c r="J81"/>
      <c r="K81"/>
      <c r="L81"/>
      <c r="M81"/>
      <c r="N81"/>
      <c r="O81"/>
    </row>
  </sheetData>
  <mergeCells count="11">
    <mergeCell ref="C21:E21"/>
    <mergeCell ref="O21:P21"/>
    <mergeCell ref="U21:W21"/>
    <mergeCell ref="A22:B22"/>
    <mergeCell ref="O22:P22"/>
    <mergeCell ref="O20:W20"/>
    <mergeCell ref="A1:U1"/>
    <mergeCell ref="A2:U2"/>
    <mergeCell ref="C5:G5"/>
    <mergeCell ref="X5:Y5"/>
    <mergeCell ref="C6:D6"/>
  </mergeCells>
  <dataValidations count="1">
    <dataValidation type="list" allowBlank="1" showInputMessage="1" showErrorMessage="1" sqref="S13 O25:O34 O36:O37 O40:O47 O50:O57 O60" xr:uid="{664F27CC-03B8-41DD-9E77-6535CBE6D30A}">
      <formula1>dd_items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indexed="50"/>
  </sheetPr>
  <dimension ref="A1:K31"/>
  <sheetViews>
    <sheetView workbookViewId="0">
      <selection activeCell="E9" sqref="E9"/>
    </sheetView>
  </sheetViews>
  <sheetFormatPr baseColWidth="10" defaultColWidth="8.83203125" defaultRowHeight="13" x14ac:dyDescent="0.15"/>
  <cols>
    <col min="2" max="2" width="10.83203125" customWidth="1"/>
    <col min="3" max="11" width="10.6640625" customWidth="1"/>
  </cols>
  <sheetData>
    <row r="1" spans="1:11" x14ac:dyDescent="0.15">
      <c r="A1" s="11" t="s">
        <v>55</v>
      </c>
    </row>
    <row r="3" spans="1:11" x14ac:dyDescent="0.15">
      <c r="A3" s="11" t="s">
        <v>105</v>
      </c>
    </row>
    <row r="5" spans="1:11" x14ac:dyDescent="0.15">
      <c r="B5" s="11" t="s">
        <v>2</v>
      </c>
      <c r="C5" s="12"/>
    </row>
    <row r="7" spans="1:11" ht="14" thickBot="1" x14ac:dyDescent="0.2"/>
    <row r="8" spans="1:11" ht="43" thickBot="1" x14ac:dyDescent="0.2">
      <c r="C8" s="48" t="s">
        <v>46</v>
      </c>
      <c r="D8" s="49" t="s">
        <v>47</v>
      </c>
      <c r="E8" s="50" t="s">
        <v>57</v>
      </c>
      <c r="F8" s="49" t="s">
        <v>48</v>
      </c>
      <c r="G8" s="49" t="s">
        <v>49</v>
      </c>
      <c r="H8" s="49" t="s">
        <v>50</v>
      </c>
      <c r="I8" s="49" t="s">
        <v>51</v>
      </c>
      <c r="J8" s="51" t="s">
        <v>52</v>
      </c>
      <c r="K8" s="52" t="s">
        <v>53</v>
      </c>
    </row>
    <row r="9" spans="1:11" x14ac:dyDescent="0.15">
      <c r="C9" s="53" t="s">
        <v>54</v>
      </c>
      <c r="D9" s="54">
        <v>1</v>
      </c>
      <c r="E9" s="55">
        <v>82.3</v>
      </c>
      <c r="F9" s="63">
        <v>0.50068000000000001</v>
      </c>
      <c r="G9" s="56">
        <f>E9*F9</f>
        <v>41.205964000000002</v>
      </c>
      <c r="H9" s="57">
        <v>0.35</v>
      </c>
      <c r="I9" s="57">
        <v>7.4999999999999997E-2</v>
      </c>
      <c r="J9" s="61">
        <f>1/G9*LN(H9/I9)</f>
        <v>3.7384031130715666E-2</v>
      </c>
      <c r="K9" s="62">
        <f>PI()/J9</f>
        <v>84.035684718028733</v>
      </c>
    </row>
    <row r="10" spans="1:11" x14ac:dyDescent="0.15">
      <c r="C10" s="53" t="s">
        <v>56</v>
      </c>
      <c r="D10" s="54">
        <v>2</v>
      </c>
      <c r="E10" s="55">
        <v>87.68</v>
      </c>
      <c r="F10" s="63">
        <v>0.52680300000000002</v>
      </c>
      <c r="G10" s="56">
        <f>E10*F10</f>
        <v>46.190087040000009</v>
      </c>
      <c r="H10" s="55">
        <v>0.24</v>
      </c>
      <c r="I10" s="55">
        <v>7.0000000000000007E-2</v>
      </c>
      <c r="J10" s="61">
        <f>1/G10*LN(H10/I10)</f>
        <v>2.6675500312991655E-2</v>
      </c>
      <c r="K10" s="62">
        <f>PI()/J10</f>
        <v>117.77071157910979</v>
      </c>
    </row>
    <row r="11" spans="1:11" x14ac:dyDescent="0.15">
      <c r="C11" s="53"/>
      <c r="D11" s="54"/>
      <c r="E11" s="55"/>
      <c r="F11" s="63"/>
      <c r="G11" s="56"/>
      <c r="H11" s="55"/>
      <c r="I11" s="55"/>
      <c r="J11" s="61"/>
      <c r="K11" s="62"/>
    </row>
    <row r="12" spans="1:11" x14ac:dyDescent="0.15">
      <c r="C12" s="53"/>
      <c r="D12" s="54"/>
      <c r="E12" s="55"/>
      <c r="F12" s="63"/>
      <c r="G12" s="56"/>
      <c r="H12" s="55"/>
      <c r="I12" s="55"/>
      <c r="J12" s="61"/>
      <c r="K12" s="62"/>
    </row>
    <row r="13" spans="1:11" x14ac:dyDescent="0.15">
      <c r="C13" s="53"/>
      <c r="D13" s="54"/>
      <c r="E13" s="55"/>
      <c r="F13" s="63"/>
      <c r="G13" s="56"/>
      <c r="H13" s="55"/>
      <c r="I13" s="55"/>
      <c r="J13" s="61"/>
      <c r="K13" s="62"/>
    </row>
    <row r="14" spans="1:11" x14ac:dyDescent="0.15">
      <c r="C14" s="53"/>
      <c r="D14" s="54"/>
      <c r="E14" s="55"/>
      <c r="F14" s="63"/>
      <c r="G14" s="56"/>
      <c r="H14" s="55"/>
      <c r="I14" s="55"/>
      <c r="J14" s="61"/>
      <c r="K14" s="62"/>
    </row>
    <row r="15" spans="1:11" x14ac:dyDescent="0.15">
      <c r="C15" s="53"/>
      <c r="D15" s="54"/>
      <c r="E15" s="55"/>
      <c r="F15" s="63"/>
      <c r="G15" s="56"/>
      <c r="H15" s="55"/>
      <c r="I15" s="55"/>
      <c r="J15" s="61"/>
      <c r="K15" s="62"/>
    </row>
    <row r="16" spans="1:11" x14ac:dyDescent="0.15">
      <c r="C16" s="53"/>
      <c r="D16" s="54"/>
      <c r="E16" s="55"/>
      <c r="F16" s="63"/>
      <c r="G16" s="56"/>
      <c r="H16" s="55"/>
      <c r="I16" s="55"/>
      <c r="J16" s="61"/>
      <c r="K16" s="62"/>
    </row>
    <row r="17" spans="3:11" x14ac:dyDescent="0.15">
      <c r="C17" s="53"/>
      <c r="D17" s="54"/>
      <c r="E17" s="55"/>
      <c r="F17" s="63"/>
      <c r="G17" s="56"/>
      <c r="H17" s="55"/>
      <c r="I17" s="55"/>
      <c r="J17" s="61"/>
      <c r="K17" s="62"/>
    </row>
    <row r="18" spans="3:11" x14ac:dyDescent="0.15">
      <c r="C18" s="53"/>
      <c r="D18" s="54"/>
      <c r="E18" s="55"/>
      <c r="F18" s="63"/>
      <c r="G18" s="56"/>
      <c r="H18" s="55"/>
      <c r="I18" s="55"/>
      <c r="J18" s="61"/>
      <c r="K18" s="62"/>
    </row>
    <row r="19" spans="3:11" x14ac:dyDescent="0.15">
      <c r="C19" s="53"/>
      <c r="D19" s="54"/>
      <c r="E19" s="55"/>
      <c r="F19" s="63"/>
      <c r="G19" s="56"/>
      <c r="H19" s="55"/>
      <c r="I19" s="55"/>
      <c r="J19" s="61"/>
      <c r="K19" s="62"/>
    </row>
    <row r="20" spans="3:11" x14ac:dyDescent="0.15">
      <c r="C20" s="53"/>
      <c r="D20" s="54"/>
      <c r="E20" s="55"/>
      <c r="F20" s="63"/>
      <c r="G20" s="56"/>
      <c r="H20" s="55"/>
      <c r="I20" s="55"/>
      <c r="J20" s="61"/>
      <c r="K20" s="62"/>
    </row>
    <row r="21" spans="3:11" x14ac:dyDescent="0.15">
      <c r="C21" s="53"/>
      <c r="D21" s="54"/>
      <c r="E21" s="55"/>
      <c r="F21" s="63"/>
      <c r="G21" s="56"/>
      <c r="H21" s="55"/>
      <c r="I21" s="55"/>
      <c r="J21" s="61"/>
      <c r="K21" s="62"/>
    </row>
    <row r="22" spans="3:11" x14ac:dyDescent="0.15">
      <c r="C22" s="53"/>
      <c r="D22" s="54"/>
      <c r="E22" s="55"/>
      <c r="F22" s="63"/>
      <c r="G22" s="56"/>
      <c r="H22" s="55"/>
      <c r="I22" s="55"/>
      <c r="J22" s="61"/>
      <c r="K22" s="62"/>
    </row>
    <row r="23" spans="3:11" x14ac:dyDescent="0.15">
      <c r="C23" s="53"/>
      <c r="D23" s="54"/>
      <c r="E23" s="55"/>
      <c r="F23" s="63"/>
      <c r="G23" s="56"/>
      <c r="H23" s="55"/>
      <c r="I23" s="55"/>
      <c r="J23" s="61"/>
      <c r="K23" s="62"/>
    </row>
    <row r="24" spans="3:11" ht="14" thickBot="1" x14ac:dyDescent="0.2">
      <c r="C24" s="8"/>
      <c r="D24" s="58"/>
      <c r="E24" s="59"/>
      <c r="F24" s="64"/>
      <c r="G24" s="60"/>
      <c r="H24" s="59"/>
      <c r="I24" s="59"/>
      <c r="J24" s="65"/>
      <c r="K24" s="66"/>
    </row>
    <row r="25" spans="3:11" x14ac:dyDescent="0.15">
      <c r="D25" s="47"/>
      <c r="E25" s="40"/>
      <c r="F25" s="40"/>
      <c r="G25" s="40"/>
      <c r="H25" s="40"/>
      <c r="I25" s="40"/>
      <c r="J25" s="45"/>
      <c r="K25" s="46"/>
    </row>
    <row r="26" spans="3:11" x14ac:dyDescent="0.15">
      <c r="D26" s="47"/>
      <c r="J26" s="45"/>
      <c r="K26" s="46"/>
    </row>
    <row r="27" spans="3:11" x14ac:dyDescent="0.15">
      <c r="D27" s="47"/>
      <c r="J27" s="45"/>
      <c r="K27" s="46"/>
    </row>
    <row r="28" spans="3:11" x14ac:dyDescent="0.15">
      <c r="D28" s="47"/>
      <c r="J28" s="45"/>
      <c r="K28" s="46"/>
    </row>
    <row r="29" spans="3:11" x14ac:dyDescent="0.15">
      <c r="D29" s="47"/>
      <c r="J29" s="45"/>
      <c r="K29" s="46"/>
    </row>
    <row r="30" spans="3:11" x14ac:dyDescent="0.15">
      <c r="D30" s="47"/>
      <c r="K30" s="46"/>
    </row>
    <row r="31" spans="3:11" x14ac:dyDescent="0.15">
      <c r="D31" s="47"/>
      <c r="K31" s="46"/>
    </row>
  </sheetData>
  <phoneticPr fontId="2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tabColor indexed="8"/>
  </sheetPr>
  <dimension ref="A1:I30"/>
  <sheetViews>
    <sheetView topLeftCell="A7" workbookViewId="0">
      <selection activeCell="H16" sqref="H16"/>
    </sheetView>
  </sheetViews>
  <sheetFormatPr baseColWidth="10" defaultColWidth="8.83203125" defaultRowHeight="13" x14ac:dyDescent="0.15"/>
  <cols>
    <col min="2" max="2" width="10" customWidth="1"/>
    <col min="5" max="5" width="14.33203125" customWidth="1"/>
  </cols>
  <sheetData>
    <row r="1" spans="1:9" x14ac:dyDescent="0.15">
      <c r="A1" s="11" t="s">
        <v>75</v>
      </c>
    </row>
    <row r="3" spans="1:9" x14ac:dyDescent="0.15">
      <c r="A3" s="11" t="s">
        <v>104</v>
      </c>
    </row>
    <row r="5" spans="1:9" x14ac:dyDescent="0.15">
      <c r="B5" s="11" t="s">
        <v>2</v>
      </c>
      <c r="C5" s="12"/>
    </row>
    <row r="7" spans="1:9" ht="15" x14ac:dyDescent="0.2">
      <c r="B7" t="s">
        <v>58</v>
      </c>
    </row>
    <row r="8" spans="1:9" ht="15" x14ac:dyDescent="0.2">
      <c r="B8" t="s">
        <v>59</v>
      </c>
    </row>
    <row r="9" spans="1:9" ht="14" thickBot="1" x14ac:dyDescent="0.2"/>
    <row r="10" spans="1:9" ht="17" x14ac:dyDescent="0.25">
      <c r="F10" s="83" t="s">
        <v>71</v>
      </c>
      <c r="G10" s="84" t="s">
        <v>72</v>
      </c>
      <c r="H10" s="84" t="s">
        <v>73</v>
      </c>
      <c r="I10" s="85" t="s">
        <v>74</v>
      </c>
    </row>
    <row r="11" spans="1:9" x14ac:dyDescent="0.15">
      <c r="D11" s="71" t="s">
        <v>60</v>
      </c>
      <c r="F11" s="74">
        <v>95</v>
      </c>
      <c r="G11" s="75">
        <v>180</v>
      </c>
      <c r="H11" s="75">
        <v>170</v>
      </c>
      <c r="I11" s="76">
        <f>SQRT(F11^2+G11^2-H11^2)</f>
        <v>111.91514642799696</v>
      </c>
    </row>
    <row r="12" spans="1:9" ht="14" thickBot="1" x14ac:dyDescent="0.2">
      <c r="D12" s="71" t="s">
        <v>69</v>
      </c>
      <c r="F12" s="68">
        <v>95.9</v>
      </c>
      <c r="G12" s="69">
        <v>179</v>
      </c>
      <c r="H12" s="69">
        <v>159.80000000000001</v>
      </c>
      <c r="I12" s="70">
        <f>SQRT(F12^2+G12^2-H12^2)</f>
        <v>125.30670373128484</v>
      </c>
    </row>
    <row r="13" spans="1:9" ht="14" thickBot="1" x14ac:dyDescent="0.2">
      <c r="F13">
        <v>98.92</v>
      </c>
      <c r="G13">
        <v>204.57</v>
      </c>
      <c r="H13" s="67">
        <v>181.715</v>
      </c>
      <c r="I13" s="70">
        <f>SQRT(F13^2+G13^2-H13^2)</f>
        <v>136.43207128457735</v>
      </c>
    </row>
    <row r="14" spans="1:9" x14ac:dyDescent="0.15">
      <c r="B14" t="s">
        <v>67</v>
      </c>
      <c r="H14" s="67"/>
    </row>
    <row r="15" spans="1:9" x14ac:dyDescent="0.15">
      <c r="E15" s="71" t="s">
        <v>61</v>
      </c>
      <c r="F15">
        <v>330</v>
      </c>
      <c r="G15" t="s">
        <v>63</v>
      </c>
    </row>
    <row r="16" spans="1:9" x14ac:dyDescent="0.15">
      <c r="E16" s="71" t="s">
        <v>62</v>
      </c>
      <c r="F16" s="12">
        <v>4.4999999999999998E-2</v>
      </c>
      <c r="G16" t="s">
        <v>64</v>
      </c>
    </row>
    <row r="17" spans="2:8" ht="15" x14ac:dyDescent="0.15">
      <c r="E17" s="71" t="s">
        <v>65</v>
      </c>
      <c r="F17" s="12">
        <v>1.4101600000000001E-2</v>
      </c>
      <c r="G17" t="s">
        <v>66</v>
      </c>
      <c r="H17" s="72"/>
    </row>
    <row r="19" spans="2:8" x14ac:dyDescent="0.15">
      <c r="F19" s="73" t="s">
        <v>68</v>
      </c>
      <c r="G19">
        <f>(F15^2*F16)/(4*PI()*F17*I12^2)</f>
        <v>1.7612196671900833</v>
      </c>
    </row>
    <row r="20" spans="2:8" ht="14" thickBot="1" x14ac:dyDescent="0.2">
      <c r="B20" t="s">
        <v>106</v>
      </c>
    </row>
    <row r="21" spans="2:8" ht="30" x14ac:dyDescent="0.25">
      <c r="E21" s="77" t="s">
        <v>70</v>
      </c>
      <c r="F21" s="85" t="s">
        <v>74</v>
      </c>
    </row>
    <row r="22" spans="2:8" x14ac:dyDescent="0.15">
      <c r="E22" s="80">
        <v>70</v>
      </c>
      <c r="F22" s="78">
        <f>$F$15/2*SQRT((E22/2000)/($G$19*PI()*$F$17))</f>
        <v>110.51012522740969</v>
      </c>
    </row>
    <row r="23" spans="2:8" x14ac:dyDescent="0.15">
      <c r="E23" s="81">
        <v>75</v>
      </c>
      <c r="F23" s="78">
        <f t="shared" ref="F23:F30" si="0">$F$15/2*SQRT((E23/2000)/($G$19*PI()*$F$17))</f>
        <v>114.38884706706911</v>
      </c>
    </row>
    <row r="24" spans="2:8" x14ac:dyDescent="0.15">
      <c r="E24" s="81">
        <v>80</v>
      </c>
      <c r="F24" s="78">
        <f t="shared" si="0"/>
        <v>118.14029324870022</v>
      </c>
    </row>
    <row r="25" spans="2:8" x14ac:dyDescent="0.15">
      <c r="E25" s="81">
        <v>85</v>
      </c>
      <c r="F25" s="78">
        <f t="shared" si="0"/>
        <v>121.77622692645902</v>
      </c>
    </row>
    <row r="26" spans="2:8" x14ac:dyDescent="0.15">
      <c r="E26" s="81">
        <v>90</v>
      </c>
      <c r="F26" s="78">
        <f t="shared" si="0"/>
        <v>125.30670373128484</v>
      </c>
    </row>
    <row r="27" spans="2:8" x14ac:dyDescent="0.15">
      <c r="E27" s="81">
        <v>95</v>
      </c>
      <c r="F27" s="78">
        <f t="shared" si="0"/>
        <v>128.74039985783619</v>
      </c>
    </row>
    <row r="28" spans="2:8" x14ac:dyDescent="0.15">
      <c r="E28" s="81">
        <v>100</v>
      </c>
      <c r="F28" s="78">
        <f t="shared" si="0"/>
        <v>132.0848632929266</v>
      </c>
    </row>
    <row r="29" spans="2:8" x14ac:dyDescent="0.15">
      <c r="E29" s="81">
        <v>105</v>
      </c>
      <c r="F29" s="78">
        <f t="shared" si="0"/>
        <v>135.34670910911228</v>
      </c>
    </row>
    <row r="30" spans="2:8" ht="14" thickBot="1" x14ac:dyDescent="0.2">
      <c r="E30" s="82">
        <v>110</v>
      </c>
      <c r="F30" s="79">
        <f t="shared" si="0"/>
        <v>138.53177333096625</v>
      </c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50BF-4C30-4219-9DAC-AFB24B10EC70}">
  <sheetPr>
    <tabColor indexed="8"/>
  </sheetPr>
  <dimension ref="B1:Y44"/>
  <sheetViews>
    <sheetView workbookViewId="0">
      <selection activeCell="C30" sqref="C30:L30"/>
    </sheetView>
  </sheetViews>
  <sheetFormatPr baseColWidth="10" defaultColWidth="8.83203125" defaultRowHeight="13" x14ac:dyDescent="0.15"/>
  <cols>
    <col min="2" max="2" width="19.5" customWidth="1"/>
    <col min="3" max="3" width="9.83203125" bestFit="1" customWidth="1"/>
    <col min="4" max="4" width="9.5" bestFit="1" customWidth="1"/>
    <col min="5" max="5" width="10.1640625" bestFit="1" customWidth="1"/>
    <col min="6" max="6" width="10.83203125" bestFit="1" customWidth="1"/>
    <col min="7" max="7" width="11.83203125" bestFit="1" customWidth="1"/>
    <col min="8" max="8" width="11" bestFit="1" customWidth="1"/>
    <col min="9" max="9" width="10" bestFit="1" customWidth="1"/>
    <col min="10" max="10" width="17.1640625" bestFit="1" customWidth="1"/>
    <col min="11" max="11" width="12.33203125" bestFit="1" customWidth="1"/>
    <col min="12" max="12" width="15.1640625" bestFit="1" customWidth="1"/>
    <col min="13" max="14" width="9.33203125" bestFit="1" customWidth="1"/>
    <col min="15" max="15" width="14.83203125" bestFit="1" customWidth="1"/>
    <col min="19" max="19" width="9.5" bestFit="1" customWidth="1"/>
    <col min="20" max="20" width="12.33203125" bestFit="1" customWidth="1"/>
  </cols>
  <sheetData>
    <row r="1" spans="2:2" x14ac:dyDescent="0.15">
      <c r="B1" s="116" t="s">
        <v>260</v>
      </c>
    </row>
    <row r="2" spans="2:2" x14ac:dyDescent="0.15">
      <c r="B2" t="s">
        <v>203</v>
      </c>
    </row>
    <row r="4" spans="2:2" x14ac:dyDescent="0.15">
      <c r="B4" t="s">
        <v>204</v>
      </c>
    </row>
    <row r="5" spans="2:2" x14ac:dyDescent="0.15">
      <c r="B5" t="s">
        <v>205</v>
      </c>
    </row>
    <row r="6" spans="2:2" x14ac:dyDescent="0.15">
      <c r="B6" t="s">
        <v>206</v>
      </c>
    </row>
    <row r="7" spans="2:2" x14ac:dyDescent="0.15">
      <c r="B7" t="s">
        <v>207</v>
      </c>
    </row>
    <row r="8" spans="2:2" x14ac:dyDescent="0.15">
      <c r="B8" t="s">
        <v>208</v>
      </c>
    </row>
    <row r="9" spans="2:2" x14ac:dyDescent="0.15">
      <c r="B9" t="s">
        <v>209</v>
      </c>
    </row>
    <row r="10" spans="2:2" x14ac:dyDescent="0.15">
      <c r="B10" t="s">
        <v>210</v>
      </c>
    </row>
    <row r="11" spans="2:2" x14ac:dyDescent="0.15">
      <c r="B11" t="s">
        <v>211</v>
      </c>
    </row>
    <row r="12" spans="2:2" x14ac:dyDescent="0.15">
      <c r="B12" t="s">
        <v>212</v>
      </c>
    </row>
    <row r="14" spans="2:2" ht="15" x14ac:dyDescent="0.2">
      <c r="B14" s="116" t="s">
        <v>213</v>
      </c>
    </row>
    <row r="16" spans="2:2" ht="14" thickBot="1" x14ac:dyDescent="0.2"/>
    <row r="17" spans="2:25" ht="42" x14ac:dyDescent="0.15">
      <c r="B17" s="278" t="s">
        <v>214</v>
      </c>
      <c r="C17" s="197" t="s">
        <v>216</v>
      </c>
      <c r="D17" s="197" t="s">
        <v>215</v>
      </c>
      <c r="E17" s="197" t="s">
        <v>218</v>
      </c>
      <c r="F17" s="197" t="s">
        <v>220</v>
      </c>
      <c r="G17" s="197" t="s">
        <v>221</v>
      </c>
      <c r="H17" s="197" t="s">
        <v>223</v>
      </c>
      <c r="I17" s="197" t="s">
        <v>225</v>
      </c>
      <c r="J17" s="197" t="s">
        <v>226</v>
      </c>
      <c r="K17" s="197" t="s">
        <v>227</v>
      </c>
      <c r="L17" s="197" t="s">
        <v>228</v>
      </c>
    </row>
    <row r="18" spans="2:25" ht="14" thickBot="1" x14ac:dyDescent="0.2">
      <c r="B18" s="279"/>
      <c r="C18" s="202" t="s">
        <v>217</v>
      </c>
      <c r="D18" s="255" t="s">
        <v>1</v>
      </c>
      <c r="E18" s="202" t="s">
        <v>219</v>
      </c>
      <c r="F18" s="202" t="s">
        <v>219</v>
      </c>
      <c r="G18" s="202" t="s">
        <v>222</v>
      </c>
      <c r="H18" s="202" t="s">
        <v>224</v>
      </c>
      <c r="I18" s="202" t="s">
        <v>139</v>
      </c>
      <c r="J18" s="202" t="s">
        <v>139</v>
      </c>
      <c r="K18" s="202" t="s">
        <v>219</v>
      </c>
      <c r="L18" s="202"/>
    </row>
    <row r="19" spans="2:25" x14ac:dyDescent="0.15">
      <c r="B19" s="199" t="s">
        <v>229</v>
      </c>
      <c r="C19" s="203">
        <v>480</v>
      </c>
      <c r="D19" s="204">
        <v>12</v>
      </c>
      <c r="E19" s="205">
        <v>70</v>
      </c>
      <c r="F19" s="205">
        <v>35</v>
      </c>
      <c r="G19" s="206">
        <v>127.2</v>
      </c>
      <c r="H19" s="207">
        <v>1.0600000000000001E-8</v>
      </c>
      <c r="I19" s="205">
        <v>2.84</v>
      </c>
      <c r="J19" s="205">
        <v>14.96</v>
      </c>
      <c r="K19" s="205">
        <v>14.12</v>
      </c>
      <c r="L19" s="208">
        <v>0.4</v>
      </c>
    </row>
    <row r="20" spans="2:25" x14ac:dyDescent="0.15">
      <c r="B20" s="200" t="s">
        <v>230</v>
      </c>
      <c r="C20" s="209">
        <v>350</v>
      </c>
      <c r="D20" s="210">
        <v>5.8</v>
      </c>
      <c r="E20" s="127">
        <v>69</v>
      </c>
      <c r="F20" s="127">
        <v>34.5</v>
      </c>
      <c r="G20" s="211">
        <v>70.099999999999994</v>
      </c>
      <c r="H20" s="212">
        <v>5.8500000000000003E-9</v>
      </c>
      <c r="I20" s="127">
        <v>2.19</v>
      </c>
      <c r="J20" s="127">
        <v>15.61</v>
      </c>
      <c r="K20" s="127">
        <v>26.71</v>
      </c>
      <c r="L20" s="213">
        <v>0.77</v>
      </c>
    </row>
    <row r="21" spans="2:25" x14ac:dyDescent="0.15">
      <c r="B21" s="200" t="s">
        <v>165</v>
      </c>
      <c r="C21" s="209">
        <v>290</v>
      </c>
      <c r="D21" s="210">
        <v>4.2</v>
      </c>
      <c r="E21" s="127">
        <v>54</v>
      </c>
      <c r="F21" s="127">
        <v>27</v>
      </c>
      <c r="G21" s="211">
        <v>53.7</v>
      </c>
      <c r="H21" s="212">
        <v>4.4699999999999997E-9</v>
      </c>
      <c r="I21" s="127">
        <v>1.99</v>
      </c>
      <c r="J21" s="127">
        <v>15.81</v>
      </c>
      <c r="K21" s="127">
        <v>35.340000000000003</v>
      </c>
      <c r="L21" s="213">
        <v>1.31</v>
      </c>
    </row>
    <row r="22" spans="2:25" x14ac:dyDescent="0.15">
      <c r="B22" s="200" t="s">
        <v>231</v>
      </c>
      <c r="C22" s="209">
        <v>725</v>
      </c>
      <c r="D22" s="210">
        <v>18</v>
      </c>
      <c r="E22" s="127">
        <v>100</v>
      </c>
      <c r="F22" s="127">
        <v>50</v>
      </c>
      <c r="G22" s="211">
        <v>174.5</v>
      </c>
      <c r="H22" s="212">
        <v>1.4500000000000001E-8</v>
      </c>
      <c r="I22" s="127">
        <v>3.35</v>
      </c>
      <c r="J22" s="127">
        <v>14.46</v>
      </c>
      <c r="K22" s="127">
        <v>9.94</v>
      </c>
      <c r="L22" s="213">
        <v>0.2</v>
      </c>
    </row>
    <row r="23" spans="2:25" x14ac:dyDescent="0.15">
      <c r="B23" s="200" t="s">
        <v>232</v>
      </c>
      <c r="C23" s="209">
        <v>120</v>
      </c>
      <c r="D23" s="210">
        <v>2.2000000000000002</v>
      </c>
      <c r="E23" s="127">
        <v>19</v>
      </c>
      <c r="F23" s="127">
        <v>9.5</v>
      </c>
      <c r="G23" s="211">
        <v>31.9</v>
      </c>
      <c r="H23" s="212">
        <v>2.6599999999999999E-9</v>
      </c>
      <c r="I23" s="127">
        <v>1.72</v>
      </c>
      <c r="J23" s="127">
        <v>16.079999999999998</v>
      </c>
      <c r="K23" s="127">
        <v>60.47</v>
      </c>
      <c r="L23" s="213">
        <v>6.37</v>
      </c>
    </row>
    <row r="24" spans="2:25" ht="14" thickBot="1" x14ac:dyDescent="0.2">
      <c r="B24" s="198" t="s">
        <v>233</v>
      </c>
      <c r="C24" s="214">
        <v>120</v>
      </c>
      <c r="D24" s="215">
        <v>2.2000000000000002</v>
      </c>
      <c r="E24" s="216">
        <v>19</v>
      </c>
      <c r="F24" s="216">
        <v>9.5</v>
      </c>
      <c r="G24" s="217">
        <v>128</v>
      </c>
      <c r="H24" s="218">
        <v>1.0800000000000001E-8</v>
      </c>
      <c r="I24" s="216">
        <v>2.85</v>
      </c>
      <c r="J24" s="216">
        <v>14.95</v>
      </c>
      <c r="K24" s="216">
        <v>14.02</v>
      </c>
      <c r="L24" s="219">
        <v>1.48</v>
      </c>
    </row>
    <row r="26" spans="2:25" ht="14" thickBot="1" x14ac:dyDescent="0.2"/>
    <row r="27" spans="2:25" ht="14" thickBot="1" x14ac:dyDescent="0.2">
      <c r="B27" s="276" t="s">
        <v>255</v>
      </c>
      <c r="C27" s="277"/>
    </row>
    <row r="28" spans="2:25" ht="28" x14ac:dyDescent="0.15">
      <c r="B28" s="257" t="s">
        <v>259</v>
      </c>
      <c r="C28" s="257" t="s">
        <v>258</v>
      </c>
      <c r="D28" s="256" t="s">
        <v>256</v>
      </c>
    </row>
    <row r="29" spans="2:25" ht="14" thickBot="1" x14ac:dyDescent="0.2">
      <c r="B29" s="255">
        <v>12</v>
      </c>
      <c r="C29" s="255">
        <v>12</v>
      </c>
      <c r="D29" s="196">
        <f>C29/B29</f>
        <v>1</v>
      </c>
    </row>
    <row r="30" spans="2:25" ht="14" thickBot="1" x14ac:dyDescent="0.2">
      <c r="B30" s="109"/>
      <c r="C30" s="272" t="s">
        <v>236</v>
      </c>
      <c r="D30" s="273"/>
      <c r="E30" s="273"/>
      <c r="F30" s="273"/>
      <c r="G30" s="273"/>
      <c r="H30" s="273"/>
      <c r="I30" s="273"/>
      <c r="J30" s="273"/>
      <c r="K30" s="273"/>
      <c r="L30" s="274"/>
      <c r="M30" s="224" t="s">
        <v>238</v>
      </c>
      <c r="N30" s="225"/>
      <c r="O30" s="226"/>
      <c r="R30" s="109"/>
      <c r="S30" s="109"/>
      <c r="T30" s="109"/>
      <c r="U30" s="275"/>
      <c r="V30" s="275"/>
      <c r="W30" s="275"/>
      <c r="X30" s="275"/>
      <c r="Y30" s="275"/>
    </row>
    <row r="31" spans="2:25" ht="42" x14ac:dyDescent="0.15">
      <c r="B31" s="109"/>
      <c r="C31" s="203" t="s">
        <v>3</v>
      </c>
      <c r="D31" s="228" t="s">
        <v>257</v>
      </c>
      <c r="E31" s="205" t="s">
        <v>235</v>
      </c>
      <c r="F31" s="228" t="s">
        <v>241</v>
      </c>
      <c r="G31" s="220" t="s">
        <v>244</v>
      </c>
      <c r="H31" s="205" t="s">
        <v>237</v>
      </c>
      <c r="I31" s="228" t="s">
        <v>246</v>
      </c>
      <c r="J31" s="228" t="s">
        <v>240</v>
      </c>
      <c r="K31" s="220" t="s">
        <v>242</v>
      </c>
      <c r="L31" s="229" t="s">
        <v>245</v>
      </c>
      <c r="M31" s="251" t="s">
        <v>243</v>
      </c>
      <c r="N31" s="220" t="s">
        <v>247</v>
      </c>
      <c r="O31" s="229" t="s">
        <v>248</v>
      </c>
      <c r="R31" s="230"/>
      <c r="S31" s="159"/>
      <c r="T31" s="159"/>
      <c r="U31" s="230"/>
      <c r="V31" s="230"/>
      <c r="W31" s="159"/>
      <c r="X31" s="159"/>
      <c r="Y31" s="159"/>
    </row>
    <row r="32" spans="2:25" ht="14" thickBot="1" x14ac:dyDescent="0.2">
      <c r="B32" s="109"/>
      <c r="C32" s="222" t="s">
        <v>64</v>
      </c>
      <c r="D32" s="223" t="s">
        <v>64</v>
      </c>
      <c r="E32" s="223" t="s">
        <v>64</v>
      </c>
      <c r="F32" s="223" t="s">
        <v>158</v>
      </c>
      <c r="G32" s="223" t="s">
        <v>224</v>
      </c>
      <c r="H32" s="223" t="s">
        <v>222</v>
      </c>
      <c r="I32" s="223" t="s">
        <v>64</v>
      </c>
      <c r="J32" s="223" t="s">
        <v>64</v>
      </c>
      <c r="K32" s="223" t="s">
        <v>239</v>
      </c>
      <c r="L32" s="7"/>
      <c r="M32" s="222" t="s">
        <v>64</v>
      </c>
      <c r="N32" s="223" t="s">
        <v>224</v>
      </c>
      <c r="O32" s="232" t="s">
        <v>222</v>
      </c>
      <c r="R32" s="159"/>
      <c r="S32" s="159"/>
      <c r="U32" s="159"/>
      <c r="V32" s="159"/>
      <c r="W32" s="159"/>
      <c r="X32" s="159"/>
      <c r="Y32" s="159"/>
    </row>
    <row r="33" spans="2:25" x14ac:dyDescent="0.15">
      <c r="B33" s="231" t="s">
        <v>249</v>
      </c>
      <c r="C33" s="234">
        <v>6.0000000000000001E-3</v>
      </c>
      <c r="D33" s="1">
        <f>C33*D29</f>
        <v>6.0000000000000001E-3</v>
      </c>
      <c r="E33" s="235">
        <v>8.0000000000000002E-3</v>
      </c>
      <c r="F33" s="236">
        <f>D33*E33/2</f>
        <v>2.4000000000000001E-5</v>
      </c>
      <c r="G33" s="236">
        <f>D33*(E33^3)/36</f>
        <v>8.5333333333333336E-11</v>
      </c>
      <c r="H33" s="236">
        <f t="shared" ref="H33:H39" si="0">12*G33</f>
        <v>1.024E-9</v>
      </c>
      <c r="I33" s="235">
        <f>E33/3</f>
        <v>2.6666666666666666E-3</v>
      </c>
      <c r="J33" s="235">
        <f>I33+E39</f>
        <v>5.4666666666666665E-3</v>
      </c>
      <c r="K33" s="236">
        <f>J33*F33</f>
        <v>1.3120000000000001E-7</v>
      </c>
      <c r="L33" s="237">
        <f>G33+F33*(J33-M40)^2</f>
        <v>2.508250205761316E-10</v>
      </c>
      <c r="M33" s="252"/>
      <c r="N33" s="238"/>
      <c r="O33" s="239"/>
      <c r="R33" s="109"/>
      <c r="S33" s="201"/>
      <c r="T33" s="34"/>
      <c r="U33" s="109"/>
      <c r="V33" s="109"/>
      <c r="W33" s="109"/>
    </row>
    <row r="34" spans="2:25" x14ac:dyDescent="0.15">
      <c r="B34" s="233" t="s">
        <v>250</v>
      </c>
      <c r="C34" s="240">
        <v>8.0000000000000002E-3</v>
      </c>
      <c r="D34">
        <f>C34*D29</f>
        <v>8.0000000000000002E-3</v>
      </c>
      <c r="E34" s="241">
        <v>8.0000000000000002E-3</v>
      </c>
      <c r="F34" s="242">
        <f>D34*E34/2</f>
        <v>3.1999999999999999E-5</v>
      </c>
      <c r="G34" s="242">
        <f>D34*(E34^3)/36</f>
        <v>1.137777777777778E-10</v>
      </c>
      <c r="H34" s="242">
        <f t="shared" si="0"/>
        <v>1.3653333333333336E-9</v>
      </c>
      <c r="I34" s="241">
        <f>E34/3</f>
        <v>2.6666666666666666E-3</v>
      </c>
      <c r="J34" s="241">
        <f>I34+E39+E37</f>
        <v>1.2466666666666668E-2</v>
      </c>
      <c r="K34" s="242">
        <f>J34*F34</f>
        <v>3.9893333333333336E-7</v>
      </c>
      <c r="L34" s="243">
        <f>G34+F34*(J34-M40)^2</f>
        <v>3.0788481755829905E-9</v>
      </c>
      <c r="M34" s="253"/>
      <c r="N34" s="71"/>
      <c r="O34" s="244"/>
      <c r="R34" s="175"/>
      <c r="S34" s="201"/>
      <c r="T34" s="34"/>
      <c r="U34" s="109"/>
      <c r="V34" s="109"/>
      <c r="W34" s="109"/>
    </row>
    <row r="35" spans="2:25" x14ac:dyDescent="0.15">
      <c r="B35" s="233" t="s">
        <v>251</v>
      </c>
      <c r="C35" s="240">
        <v>8.0000000000000002E-3</v>
      </c>
      <c r="D35">
        <f>C35*D29</f>
        <v>8.0000000000000002E-3</v>
      </c>
      <c r="E35" s="241">
        <v>8.0000000000000002E-3</v>
      </c>
      <c r="F35" s="242">
        <f>D35*E35/2</f>
        <v>3.1999999999999999E-5</v>
      </c>
      <c r="G35" s="242">
        <f>D35*(E35^3)/36</f>
        <v>1.137777777777778E-10</v>
      </c>
      <c r="H35" s="242">
        <f t="shared" si="0"/>
        <v>1.3653333333333336E-9</v>
      </c>
      <c r="I35" s="241">
        <f>E35/3</f>
        <v>2.6666666666666666E-3</v>
      </c>
      <c r="J35" s="241">
        <f>I35+E39+E38</f>
        <v>1.2466666666666668E-2</v>
      </c>
      <c r="K35" s="242">
        <f>J35*F35</f>
        <v>3.9893333333333336E-7</v>
      </c>
      <c r="L35" s="243">
        <f>G35+F35*(J35-M40)^2</f>
        <v>3.0788481755829905E-9</v>
      </c>
      <c r="M35" s="253"/>
      <c r="N35" s="71"/>
      <c r="O35" s="244"/>
      <c r="R35" s="175"/>
      <c r="S35" s="201"/>
      <c r="T35" s="34"/>
      <c r="U35" s="109"/>
      <c r="V35" s="109"/>
      <c r="W35" s="109"/>
    </row>
    <row r="36" spans="2:25" x14ac:dyDescent="0.15">
      <c r="B36" s="233" t="s">
        <v>252</v>
      </c>
      <c r="C36" s="240">
        <v>6.0000000000000001E-3</v>
      </c>
      <c r="D36">
        <f>C36*D29</f>
        <v>6.0000000000000001E-3</v>
      </c>
      <c r="E36" s="241">
        <v>8.0000000000000002E-3</v>
      </c>
      <c r="F36" s="242">
        <f>D36*E36/2</f>
        <v>2.4000000000000001E-5</v>
      </c>
      <c r="G36" s="242">
        <f>D36*(E36^3)/36</f>
        <v>8.5333333333333336E-11</v>
      </c>
      <c r="H36" s="242">
        <f t="shared" si="0"/>
        <v>1.024E-9</v>
      </c>
      <c r="I36" s="241">
        <f>E36/3</f>
        <v>2.6666666666666666E-3</v>
      </c>
      <c r="J36" s="241">
        <f>I36+E39</f>
        <v>5.4666666666666665E-3</v>
      </c>
      <c r="K36" s="242">
        <f>J36*F36</f>
        <v>1.3120000000000001E-7</v>
      </c>
      <c r="L36" s="243">
        <f>G36+F36*(J36-M40)^2</f>
        <v>2.508250205761316E-10</v>
      </c>
      <c r="M36" s="253"/>
      <c r="N36" s="71"/>
      <c r="O36" s="244"/>
      <c r="R36" s="109"/>
      <c r="S36" s="201"/>
      <c r="T36" s="34"/>
      <c r="U36" s="109"/>
      <c r="V36" s="109"/>
      <c r="W36" s="109"/>
    </row>
    <row r="37" spans="2:25" x14ac:dyDescent="0.15">
      <c r="B37" s="233" t="s">
        <v>253</v>
      </c>
      <c r="C37" s="240">
        <v>8.0000000000000002E-3</v>
      </c>
      <c r="D37">
        <f>C37*D29</f>
        <v>8.0000000000000002E-3</v>
      </c>
      <c r="E37" s="241">
        <v>7.0000000000000001E-3</v>
      </c>
      <c r="F37" s="242">
        <f>E37*D37</f>
        <v>5.5999999999999999E-5</v>
      </c>
      <c r="G37" s="242">
        <f>D37*(E37^3)/12</f>
        <v>2.286666666666667E-10</v>
      </c>
      <c r="H37" s="242">
        <f t="shared" si="0"/>
        <v>2.7440000000000005E-9</v>
      </c>
      <c r="I37" s="241">
        <f>E37/2</f>
        <v>3.5000000000000001E-3</v>
      </c>
      <c r="J37" s="241">
        <f>I37+E39</f>
        <v>6.3E-3</v>
      </c>
      <c r="K37" s="242">
        <f>F37*J37</f>
        <v>3.5279999999999998E-7</v>
      </c>
      <c r="L37" s="243">
        <f>G37+F37*(J37-M40)^2</f>
        <v>8.9878924554183794E-10</v>
      </c>
      <c r="M37" s="253"/>
      <c r="N37" s="71"/>
      <c r="O37" s="244"/>
      <c r="R37" s="109"/>
      <c r="S37" s="201"/>
      <c r="T37" s="34"/>
      <c r="U37" s="109"/>
      <c r="V37" s="109"/>
      <c r="W37" s="109"/>
    </row>
    <row r="38" spans="2:25" x14ac:dyDescent="0.15">
      <c r="B38" s="233" t="s">
        <v>254</v>
      </c>
      <c r="C38" s="240">
        <v>8.0000000000000002E-3</v>
      </c>
      <c r="D38">
        <f>C38*D29</f>
        <v>8.0000000000000002E-3</v>
      </c>
      <c r="E38" s="241">
        <v>7.0000000000000001E-3</v>
      </c>
      <c r="F38" s="242">
        <f>E38*D38</f>
        <v>5.5999999999999999E-5</v>
      </c>
      <c r="G38" s="242">
        <f>D38*(E38^3)/12</f>
        <v>2.286666666666667E-10</v>
      </c>
      <c r="H38" s="242">
        <f t="shared" si="0"/>
        <v>2.7440000000000005E-9</v>
      </c>
      <c r="I38" s="241">
        <f>E38/2</f>
        <v>3.5000000000000001E-3</v>
      </c>
      <c r="J38" s="241">
        <f>I38+E39</f>
        <v>6.3E-3</v>
      </c>
      <c r="K38" s="242">
        <f>F38*J38</f>
        <v>3.5279999999999998E-7</v>
      </c>
      <c r="L38" s="243">
        <f>G38+F38*(J38-M40)^2</f>
        <v>8.9878924554183794E-10</v>
      </c>
      <c r="M38" s="253"/>
      <c r="N38" s="71"/>
      <c r="O38" s="244"/>
      <c r="R38" s="109"/>
      <c r="S38" s="201"/>
      <c r="T38" s="34"/>
      <c r="U38" s="109"/>
      <c r="V38" s="109"/>
      <c r="W38" s="109"/>
    </row>
    <row r="39" spans="2:25" ht="14" thickBot="1" x14ac:dyDescent="0.2">
      <c r="B39" s="227" t="s">
        <v>234</v>
      </c>
      <c r="C39" s="245">
        <v>0.28000000000000003</v>
      </c>
      <c r="D39" s="221">
        <f>C39</f>
        <v>0.28000000000000003</v>
      </c>
      <c r="E39" s="246">
        <v>2.8E-3</v>
      </c>
      <c r="F39" s="247">
        <f>E39*C39</f>
        <v>7.8400000000000008E-4</v>
      </c>
      <c r="G39" s="247">
        <f>C39*(E39^3)/12</f>
        <v>5.1221333333333333E-10</v>
      </c>
      <c r="H39" s="247">
        <f t="shared" si="0"/>
        <v>6.1465599999999999E-9</v>
      </c>
      <c r="I39" s="246">
        <f>E39/2</f>
        <v>1.4E-3</v>
      </c>
      <c r="J39" s="246">
        <f>I39</f>
        <v>1.4E-3</v>
      </c>
      <c r="K39" s="247">
        <f>F39*J39</f>
        <v>1.0976000000000001E-6</v>
      </c>
      <c r="L39" s="248">
        <f>G39+F39*(J39-M40)^2</f>
        <v>2.1395886968449946E-9</v>
      </c>
      <c r="M39" s="254"/>
      <c r="N39" s="249"/>
      <c r="O39" s="250"/>
      <c r="R39" s="175"/>
      <c r="S39" s="201"/>
      <c r="T39" s="34"/>
      <c r="U39" s="109"/>
      <c r="V39" s="109"/>
      <c r="W39" s="109"/>
    </row>
    <row r="40" spans="2:25" x14ac:dyDescent="0.15">
      <c r="B40" s="109"/>
      <c r="C40" s="175"/>
      <c r="E40" s="175"/>
      <c r="F40" s="201">
        <f>SUM(F33:F39)</f>
        <v>1.008E-3</v>
      </c>
      <c r="G40" s="201"/>
      <c r="H40" s="201"/>
      <c r="I40" s="175"/>
      <c r="J40" s="109"/>
      <c r="K40" s="201">
        <f>SUM(K33:K39)</f>
        <v>2.8634666666666672E-6</v>
      </c>
      <c r="L40" s="201">
        <f>SUM(L33:L39)</f>
        <v>1.0596513580246915E-8</v>
      </c>
      <c r="M40" s="201">
        <f>K40/F40</f>
        <v>2.8407407407407413E-3</v>
      </c>
      <c r="N40" s="34">
        <f>L40</f>
        <v>1.0596513580246915E-8</v>
      </c>
      <c r="O40" s="46">
        <f>N40*(B29*10^9)</f>
        <v>127.15816296296298</v>
      </c>
      <c r="R40" s="109"/>
      <c r="S40" s="201"/>
      <c r="T40" s="201"/>
      <c r="U40" s="201"/>
      <c r="V40" s="201"/>
      <c r="W40" s="201"/>
      <c r="X40" s="34"/>
      <c r="Y40" s="46"/>
    </row>
    <row r="41" spans="2:25" x14ac:dyDescent="0.15">
      <c r="C41" s="175"/>
      <c r="D41" s="175"/>
      <c r="E41" s="201"/>
      <c r="F41" s="201"/>
      <c r="G41" s="201"/>
      <c r="H41" s="175"/>
      <c r="I41" s="175"/>
      <c r="J41" s="201"/>
      <c r="K41" s="34"/>
    </row>
    <row r="42" spans="2:25" x14ac:dyDescent="0.15">
      <c r="C42" s="175"/>
      <c r="D42" s="175"/>
      <c r="E42" s="201"/>
      <c r="F42" s="201"/>
      <c r="G42" s="201"/>
      <c r="H42" s="175"/>
      <c r="I42" s="175"/>
      <c r="J42" s="201"/>
      <c r="K42" s="34"/>
    </row>
    <row r="43" spans="2:25" x14ac:dyDescent="0.15">
      <c r="C43" s="175"/>
      <c r="D43" s="175"/>
      <c r="E43" s="201"/>
      <c r="F43" s="201"/>
      <c r="G43" s="201"/>
      <c r="H43" s="175"/>
      <c r="I43" s="109"/>
      <c r="J43" s="201"/>
      <c r="K43" s="34"/>
    </row>
    <row r="44" spans="2:25" x14ac:dyDescent="0.15">
      <c r="C44" s="175"/>
      <c r="D44" s="175"/>
      <c r="E44" s="201"/>
      <c r="F44" s="201"/>
      <c r="G44" s="201"/>
      <c r="H44" s="175"/>
      <c r="I44" s="175"/>
      <c r="J44" s="201"/>
      <c r="K44" s="34"/>
    </row>
  </sheetData>
  <mergeCells count="4">
    <mergeCell ref="C30:L30"/>
    <mergeCell ref="U30:Y30"/>
    <mergeCell ref="B27:C27"/>
    <mergeCell ref="B17:B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34" baseType="lpstr">
      <vt:lpstr>Monopole Mobility</vt:lpstr>
      <vt:lpstr>Bridge Rotation</vt:lpstr>
      <vt:lpstr>Youngs Mod Brace Tap</vt:lpstr>
      <vt:lpstr>Youngs Mod Plates Deflect</vt:lpstr>
      <vt:lpstr>Youngs Mod Dynamic Method</vt:lpstr>
      <vt:lpstr>Top Thickness Static</vt:lpstr>
      <vt:lpstr>Top Thickness Dynamic</vt:lpstr>
      <vt:lpstr>Log Dec</vt:lpstr>
      <vt:lpstr>Helmholtz</vt:lpstr>
      <vt:lpstr>Flexural Rigidity</vt:lpstr>
      <vt:lpstr>Helmholtz Cht</vt:lpstr>
      <vt:lpstr>'Top Thickness Dynamic'!Coef_1</vt:lpstr>
      <vt:lpstr>'Top Thickness Static'!Coef_1</vt:lpstr>
      <vt:lpstr>'Top Thickness Dynamic'!Coef_2</vt:lpstr>
      <vt:lpstr>'Top Thickness Static'!Coef_2</vt:lpstr>
      <vt:lpstr>'Top Thickness Dynamic'!Coef_3</vt:lpstr>
      <vt:lpstr>'Top Thickness Static'!Coef_3</vt:lpstr>
      <vt:lpstr>'Top Thickness Dynamic'!Coef_4</vt:lpstr>
      <vt:lpstr>'Top Thickness Static'!Coef_4</vt:lpstr>
      <vt:lpstr>'Top Thickness Dynamic'!dd_items</vt:lpstr>
      <vt:lpstr>'Top Thickness Static'!dd_items</vt:lpstr>
      <vt:lpstr>Density</vt:lpstr>
      <vt:lpstr>Ecross</vt:lpstr>
      <vt:lpstr>Elong</vt:lpstr>
      <vt:lpstr>Gab</vt:lpstr>
      <vt:lpstr>Length</vt:lpstr>
      <vt:lpstr>Mass</vt:lpstr>
      <vt:lpstr>sigma21</vt:lpstr>
      <vt:lpstr>t</vt:lpstr>
      <vt:lpstr>Vcl</vt:lpstr>
      <vt:lpstr>'Top Thickness Dynamic'!VlcVcl</vt:lpstr>
      <vt:lpstr>'Top Thickness Static'!VlcVcl</vt:lpstr>
      <vt:lpstr>VlcxVcl</vt:lpstr>
      <vt:lpstr>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trevor_a_gore</dc:creator>
  <cp:lastModifiedBy>David Smith</cp:lastModifiedBy>
  <dcterms:created xsi:type="dcterms:W3CDTF">2009-08-18T16:27:38Z</dcterms:created>
  <dcterms:modified xsi:type="dcterms:W3CDTF">2026-03-09T22:11:15Z</dcterms:modified>
</cp:coreProperties>
</file>